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9060" tabRatio="665" activeTab="1"/>
  </bookViews>
  <sheets>
    <sheet name="日报" sheetId="5" r:id="rId1"/>
    <sheet name="合格品入货记录" sheetId="1" r:id="rId2"/>
    <sheet name="合格品出库记录" sheetId="2" r:id="rId3"/>
    <sheet name="零跑退回" sheetId="18" r:id="rId4"/>
    <sheet name="库内不良" sheetId="19" r:id="rId5"/>
    <sheet name="退回供应商" sheetId="20" r:id="rId6"/>
    <sheet name="基础数据" sheetId="21" r:id="rId7"/>
    <sheet name="Sheet1" sheetId="22" r:id="rId8"/>
  </sheets>
  <definedNames>
    <definedName name="_xlnm._FilterDatabase" localSheetId="1" hidden="1">合格品入货记录!$A$1:$J$272</definedName>
    <definedName name="_xlnm._FilterDatabase" localSheetId="2" hidden="1">合格品出库记录!$A$1:$XFC$291</definedName>
    <definedName name="_xlnm._FilterDatabase" localSheetId="0" hidden="1">日报!$A$3:$CA$6</definedName>
    <definedName name="_xlnm.Print_Area" localSheetId="2">合格品出库记录!$A$1:$G$1</definedName>
    <definedName name="_xlnm.Print_Area" localSheetId="0">日报!$E$2:$F$3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<sst xmlns="http://schemas.openxmlformats.org/spreadsheetml/2006/main" count="188" uniqueCount="59">
  <si>
    <t>注：“可用结存”列中红色数据代表库存量过低;</t>
  </si>
  <si>
    <t>序号</t>
  </si>
  <si>
    <t>供应商代码</t>
  </si>
  <si>
    <t>供应商名称</t>
  </si>
  <si>
    <t>供应商内部料号</t>
  </si>
  <si>
    <t>零跑零件编号</t>
  </si>
  <si>
    <t>零件名称</t>
  </si>
  <si>
    <t>SNP</t>
  </si>
  <si>
    <t>器具类型</t>
  </si>
  <si>
    <t>良品上月结存</t>
  </si>
  <si>
    <t>不良品上月结存</t>
  </si>
  <si>
    <t>累进</t>
  </si>
  <si>
    <t>累出</t>
  </si>
  <si>
    <t>零跑退回</t>
  </si>
  <si>
    <t>库内不良</t>
  </si>
  <si>
    <t>退回供应商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</si>
  <si>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</si>
  <si>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</si>
  <si>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</si>
  <si>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</si>
  <si>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</si>
  <si>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</si>
  <si>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</si>
  <si>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</si>
  <si>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</si>
  <si>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</si>
  <si>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</si>
  <si>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</si>
  <si>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</si>
  <si>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</si>
  <si>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箱数</t>
  </si>
  <si>
    <t>备注</t>
  </si>
  <si>
    <t>2GQ</t>
  </si>
  <si>
    <t>浙江富特科技股份有限公司</t>
  </si>
  <si>
    <t>3.1.03.20.00073</t>
  </si>
  <si>
    <t>昌 玉</t>
  </si>
  <si>
    <t>发货日期</t>
  </si>
  <si>
    <t>装箱单号</t>
  </si>
  <si>
    <t>发货数量</t>
  </si>
  <si>
    <t>日期</t>
  </si>
  <si>
    <t>零件号/空盛具</t>
  </si>
  <si>
    <t>退货数量</t>
  </si>
  <si>
    <t>收货人</t>
  </si>
  <si>
    <t>单号</t>
  </si>
  <si>
    <t>备注2</t>
  </si>
  <si>
    <t>零跑退回不良品</t>
  </si>
  <si>
    <t>3.1.03.20.00143</t>
  </si>
  <si>
    <t>发货人</t>
  </si>
  <si>
    <t>供应商排查不良</t>
  </si>
  <si>
    <t>HZC20260506-001</t>
  </si>
  <si>
    <t>HZC20260507-001</t>
  </si>
  <si>
    <t>HZC20260508-001</t>
  </si>
  <si>
    <t>交付地点</t>
  </si>
  <si>
    <t>3.1.03.20.00045-A03</t>
  </si>
  <si>
    <t>A平台车载电源二合一</t>
  </si>
  <si>
    <t>围板箱</t>
  </si>
  <si>
    <t>电驱一体化</t>
  </si>
  <si>
    <t>车载电源二合一</t>
  </si>
  <si>
    <t>800V车载二合一电源总成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</si>
</sst>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53">
    <font>
      <sz val="11"/>
      <color rgb="FF000000"/>
      <name val="宋体"/>
      <charset val="134"/>
    </font>
    <font>
      <sz val="14"/>
      <color rgb="FF000000"/>
      <name val="微软雅黑"/>
      <charset val="134"/>
    </font>
    <font>
      <b/>
      <sz val="14"/>
      <color rgb="FFFFFFFF"/>
      <name val="Microsoft YaHei"/>
      <charset val="134"/>
    </font>
    <font>
      <sz val="14"/>
      <color rgb="FF000000"/>
      <name val="宋体"/>
      <charset val="134"/>
    </font>
    <font>
      <sz val="14"/>
      <name val="微软雅黑"/>
      <charset val="134"/>
    </font>
    <font>
      <sz val="1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黑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2"/>
      <name val="微软雅黑"/>
      <charset val="134"/>
    </font>
    <font>
      <sz val="12"/>
      <name val="黑体"/>
      <charset val="134"/>
    </font>
    <font>
      <sz val="12"/>
      <name val="宋体"/>
      <charset val="134"/>
    </font>
    <font>
      <sz val="11"/>
      <color rgb="FF000000"/>
      <name val="Microsoft YaHei"/>
      <charset val="134"/>
    </font>
    <font>
      <sz val="14"/>
      <color rgb="FF000000"/>
      <name val="黑体"/>
      <charset val="134"/>
    </font>
    <font>
      <sz val="12"/>
      <color rgb="FF000000"/>
      <name val="宋体"/>
      <charset val="134"/>
      <scheme val="major"/>
    </font>
    <font>
      <b/>
      <sz val="12"/>
      <color rgb="FF000000"/>
      <name val="宋体"/>
      <charset val="134"/>
    </font>
    <font>
      <b/>
      <sz val="12"/>
      <name val="黑体"/>
      <charset val="134"/>
    </font>
    <font>
      <b/>
      <sz val="12"/>
      <color rgb="FF000000"/>
      <name val="黑体"/>
      <charset val="134"/>
    </font>
    <font>
      <sz val="11"/>
      <color theme="1"/>
      <name val="宋体"/>
      <charset val="134"/>
    </font>
    <font>
      <b/>
      <sz val="14"/>
      <color rgb="FF000000"/>
      <name val="宋体"/>
      <charset val="134"/>
    </font>
    <font>
      <b/>
      <sz val="16"/>
      <color theme="1"/>
      <name val="Microsoft YaHei"/>
      <charset val="134"/>
    </font>
    <font>
      <b/>
      <sz val="12"/>
      <color theme="1"/>
      <name val="Microsoft YaHei"/>
      <charset val="134"/>
    </font>
    <font>
      <sz val="14"/>
      <color theme="1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FF"/>
      <name val="宋体"/>
      <charset val="134"/>
    </font>
    <font>
      <sz val="10"/>
      <name val="Arial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  <font>
      <sz val="10"/>
      <name val="宋体"/>
      <charset val="134"/>
    </font>
  </fonts>
  <fills count="6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3">
    <xf numFmtId="0" fontId="0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6" fillId="11" borderId="13" applyNumberFormat="0" applyAlignment="0" applyProtection="0">
      <alignment vertical="center"/>
    </xf>
    <xf numFmtId="0" fontId="37" fillId="11" borderId="12" applyNumberFormat="0" applyAlignment="0" applyProtection="0">
      <alignment vertical="center"/>
    </xf>
    <xf numFmtId="0" fontId="38" fillId="12" borderId="14" applyNumberFormat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0" fillId="38" borderId="0" applyProtection="0">
      <alignment vertical="center"/>
    </xf>
    <xf numFmtId="0" fontId="0" fillId="39" borderId="0" applyProtection="0">
      <alignment vertical="center"/>
    </xf>
    <xf numFmtId="0" fontId="0" fillId="40" borderId="0" applyProtection="0">
      <alignment vertical="center"/>
    </xf>
    <xf numFmtId="0" fontId="0" fillId="41" borderId="0" applyProtection="0">
      <alignment vertical="center"/>
    </xf>
    <xf numFmtId="0" fontId="0" fillId="42" borderId="0" applyProtection="0">
      <alignment vertical="center"/>
    </xf>
    <xf numFmtId="0" fontId="0" fillId="43" borderId="0" applyProtection="0">
      <alignment vertical="center"/>
    </xf>
    <xf numFmtId="0" fontId="0" fillId="44" borderId="0" applyProtection="0">
      <alignment vertical="center"/>
    </xf>
    <xf numFmtId="0" fontId="0" fillId="45" borderId="0" applyProtection="0">
      <alignment vertical="center"/>
    </xf>
    <xf numFmtId="0" fontId="0" fillId="46" borderId="0" applyProtection="0">
      <alignment vertical="center"/>
    </xf>
    <xf numFmtId="0" fontId="0" fillId="47" borderId="0" applyProtection="0">
      <alignment vertical="center"/>
    </xf>
    <xf numFmtId="0" fontId="0" fillId="48" borderId="0" applyProtection="0">
      <alignment vertical="center"/>
    </xf>
    <xf numFmtId="0" fontId="0" fillId="49" borderId="0" applyProtection="0">
      <alignment vertical="center"/>
    </xf>
    <xf numFmtId="0" fontId="46" fillId="50" borderId="0" applyProtection="0">
      <alignment vertical="center"/>
    </xf>
    <xf numFmtId="0" fontId="46" fillId="51" borderId="0" applyProtection="0">
      <alignment vertical="center"/>
    </xf>
    <xf numFmtId="0" fontId="46" fillId="52" borderId="0" applyProtection="0">
      <alignment vertical="center"/>
    </xf>
    <xf numFmtId="0" fontId="46" fillId="53" borderId="0" applyProtection="0">
      <alignment vertical="center"/>
    </xf>
    <xf numFmtId="0" fontId="46" fillId="54" borderId="0" applyProtection="0">
      <alignment vertical="center"/>
    </xf>
    <xf numFmtId="0" fontId="46" fillId="55" borderId="0" applyProtection="0">
      <alignment vertical="center"/>
    </xf>
    <xf numFmtId="0" fontId="47" fillId="0" borderId="0"/>
    <xf numFmtId="0" fontId="48" fillId="0" borderId="17" applyProtection="0">
      <alignment vertical="center"/>
    </xf>
    <xf numFmtId="0" fontId="49" fillId="0" borderId="18" applyProtection="0">
      <alignment vertical="center"/>
    </xf>
    <xf numFmtId="0" fontId="50" fillId="0" borderId="19" applyProtection="0">
      <alignment vertical="center"/>
    </xf>
    <xf numFmtId="0" fontId="51" fillId="0" borderId="0" applyProtection="0">
      <alignment vertical="center"/>
    </xf>
    <xf numFmtId="0" fontId="47" fillId="0" borderId="0" applyProtection="0"/>
    <xf numFmtId="0" fontId="14" fillId="0" borderId="0"/>
    <xf numFmtId="0" fontId="52" fillId="0" borderId="0"/>
    <xf numFmtId="0" fontId="26" fillId="0" borderId="0">
      <alignment vertical="center"/>
    </xf>
    <xf numFmtId="0" fontId="0" fillId="0" borderId="0"/>
    <xf numFmtId="0" fontId="46" fillId="56" borderId="0" applyProtection="0">
      <alignment vertical="center"/>
    </xf>
    <xf numFmtId="0" fontId="46" fillId="57" borderId="0" applyProtection="0">
      <alignment vertical="center"/>
    </xf>
    <xf numFmtId="0" fontId="46" fillId="58" borderId="0" applyProtection="0">
      <alignment vertical="center"/>
    </xf>
    <xf numFmtId="0" fontId="46" fillId="59" borderId="0" applyProtection="0">
      <alignment vertical="center"/>
    </xf>
    <xf numFmtId="0" fontId="46" fillId="60" borderId="0" applyProtection="0">
      <alignment vertical="center"/>
    </xf>
    <xf numFmtId="0" fontId="46" fillId="61" borderId="0" applyProtection="0">
      <alignment vertical="center"/>
    </xf>
  </cellStyleXfs>
  <cellXfs count="9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 shrinkToFi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7" fillId="3" borderId="1" xfId="0" applyNumberFormat="1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10" fillId="3" borderId="2" xfId="0" applyNumberFormat="1" applyFont="1" applyFill="1" applyBorder="1" applyAlignment="1" applyProtection="1">
      <alignment horizontal="center" vertical="center"/>
      <protection locked="0"/>
    </xf>
    <xf numFmtId="177" fontId="10" fillId="3" borderId="1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6" fontId="12" fillId="3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5" fillId="7" borderId="1" xfId="0" applyNumberFormat="1" applyFont="1" applyFill="1" applyBorder="1" applyAlignment="1" applyProtection="1">
      <alignment horizontal="center" vertical="center" wrapText="1"/>
      <protection hidden="1"/>
    </xf>
    <xf numFmtId="178" fontId="9" fillId="7" borderId="1" xfId="0" applyNumberFormat="1" applyFont="1" applyFill="1" applyBorder="1" applyAlignment="1">
      <alignment horizontal="center" vertical="center"/>
    </xf>
    <xf numFmtId="0" fontId="16" fillId="8" borderId="0" xfId="0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14" fillId="7" borderId="0" xfId="0" applyNumberFormat="1" applyFont="1" applyFill="1" applyBorder="1" applyAlignment="1">
      <alignment horizontal="center" vertical="center"/>
    </xf>
    <xf numFmtId="0" fontId="14" fillId="5" borderId="0" xfId="0" applyNumberFormat="1" applyFont="1" applyFill="1" applyBorder="1" applyAlignment="1">
      <alignment horizontal="center" vertical="center"/>
    </xf>
    <xf numFmtId="21" fontId="14" fillId="5" borderId="0" xfId="0" applyNumberFormat="1" applyFont="1" applyFill="1" applyBorder="1" applyAlignment="1">
      <alignment horizontal="center" vertical="center"/>
    </xf>
    <xf numFmtId="0" fontId="17" fillId="5" borderId="0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176" fontId="16" fillId="8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1" xfId="0" applyNumberFormat="1" applyFont="1" applyFill="1" applyBorder="1" applyAlignment="1">
      <alignment horizontal="center" vertical="center"/>
    </xf>
    <xf numFmtId="14" fontId="13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14" fontId="14" fillId="0" borderId="0" xfId="0" applyNumberFormat="1" applyFont="1" applyFill="1" applyBorder="1" applyAlignment="1">
      <alignment horizontal="center" vertical="center"/>
    </xf>
    <xf numFmtId="178" fontId="8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4" fontId="19" fillId="3" borderId="1" xfId="0" applyNumberFormat="1" applyFont="1" applyFill="1" applyBorder="1" applyAlignment="1">
      <alignment horizontal="center" vertical="center"/>
    </xf>
    <xf numFmtId="0" fontId="19" fillId="3" borderId="1" xfId="0" applyNumberFormat="1" applyFont="1" applyFill="1" applyBorder="1" applyAlignment="1">
      <alignment horizontal="center" vertical="center"/>
    </xf>
    <xf numFmtId="178" fontId="20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 applyProtection="1">
      <alignment horizontal="center" vertical="center" wrapText="1"/>
      <protection hidden="1"/>
    </xf>
    <xf numFmtId="0" fontId="13" fillId="5" borderId="1" xfId="0" applyNumberFormat="1" applyFont="1" applyFill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9" fontId="23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177" fontId="2" fillId="2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15" fillId="0" borderId="1" xfId="0" applyFont="1" applyFill="1" applyBorder="1" applyAlignment="1" applyProtection="1">
      <alignment horizontal="center" vertical="center" wrapText="1"/>
      <protection hidden="1"/>
    </xf>
    <xf numFmtId="0" fontId="15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left" vertical="center"/>
    </xf>
    <xf numFmtId="0" fontId="13" fillId="0" borderId="1" xfId="0" applyNumberFormat="1" applyFont="1" applyFill="1" applyBorder="1" applyAlignment="1" quotePrefix="1">
      <alignment horizontal="center" vertical="center"/>
    </xf>
    <xf numFmtId="0" fontId="3" fillId="3" borderId="1" xfId="0" applyFont="1" applyFill="1" applyBorder="1" applyAlignment="1" quotePrefix="1">
      <alignment horizontal="center" vertical="center"/>
    </xf>
    <xf numFmtId="0" fontId="8" fillId="3" borderId="1" xfId="0" applyFont="1" applyFill="1" applyBorder="1" applyAlignment="1" quotePrefix="1">
      <alignment horizontal="center" vertical="center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 2" xfId="67"/>
    <cellStyle name="标题 1 2" xfId="68"/>
    <cellStyle name="标题 2 2" xfId="69"/>
    <cellStyle name="标题 3 2" xfId="70"/>
    <cellStyle name="标题 6" xfId="71"/>
    <cellStyle name="常规 10" xfId="72"/>
    <cellStyle name="常规 10 3" xfId="73"/>
    <cellStyle name="常规 100 2" xfId="74"/>
    <cellStyle name="常规 4 11 2" xfId="75"/>
    <cellStyle name="常规 49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</cellStyles>
  <dxfs count="18">
    <dxf>
      <fill>
        <patternFill patternType="solid">
          <bgColor rgb="FFFF0000"/>
        </patternFill>
      </fill>
    </dxf>
    <dxf>
      <fill>
        <patternFill patternType="solid">
          <bgColor theme="9" tint="0.399822992645039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</dxf>
    <dxf>
      <fill>
        <gradientFill>
          <stop position="0">
            <color theme="4" tint="0.899777214880825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ill>
        <patternFill patternType="solid">
          <bgColor theme="4" tint="0.899807733390301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07733390301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Medium9">
    <tableStyle name="渐变蓝色粉色系标题行首列表格样式_2c7eb5" count="7" xr9:uid="{0B60B149-0EE4-4DE6-99FE-AACE59024919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</tableStyle>
    <tableStyle name="中色系标题行镶边行表格样式_6e22f3" count="7" xr9:uid="{1611B3D5-B957-4BB1-A268-56311EC3A98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</tableStyles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0</xdr:colOff>
      <xdr:row>7</xdr:row>
      <xdr:rowOff>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122420" y="18669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CD6"/>
  <sheetViews>
    <sheetView showGridLines="0" zoomScale="70" zoomScaleNormal="70" workbookViewId="0">
      <pane xSplit="1" ySplit="3" topLeftCell="B4" activePane="bottomRight" state="frozen"/>
      <selection/>
      <selection pane="topRight"/>
      <selection pane="bottomLeft"/>
      <selection pane="bottomRight" activeCell="D25" sqref="D25"/>
    </sheetView>
  </sheetViews>
  <sheetFormatPr defaultColWidth="9" defaultRowHeight="18" customHeight="1" outlineLevelRow="5"/>
  <cols>
    <col min="1" max="1" width="7.22222222222222" style="78" customWidth="1"/>
    <col min="2" max="2" width="11.7777777777778" style="78" customWidth="1"/>
    <col min="3" max="3" width="36.8888888888889" style="78" customWidth="1"/>
    <col min="4" max="4" width="24.4444444444444" style="78" customWidth="1"/>
    <col min="5" max="5" width="33" style="78" customWidth="1"/>
    <col min="6" max="6" width="39.4444444444444" style="78" customWidth="1"/>
    <col min="7" max="7" width="10.4444444444444" style="78" customWidth="1"/>
    <col min="8" max="9" width="10" style="78" customWidth="1"/>
    <col min="10" max="10" width="13.2222222222222" style="78" customWidth="1"/>
    <col min="11" max="11" width="8.33333333333333" style="78" customWidth="1"/>
    <col min="12" max="12" width="8.66666666666667" style="78" customWidth="1"/>
    <col min="13" max="16" width="10" style="78" customWidth="1"/>
    <col min="17" max="17" width="11.3333333333333" style="78" customWidth="1"/>
    <col min="18" max="18" width="10" style="78" customWidth="1"/>
    <col min="19" max="19" width="6.33333333333333" style="78" customWidth="1"/>
    <col min="20" max="20" width="10" style="78" customWidth="1"/>
    <col min="21" max="29" width="11.2222222222222" style="78" customWidth="1"/>
    <col min="30" max="51" width="12.3333333333333" style="78" customWidth="1"/>
    <col min="52" max="60" width="11.2222222222222" style="78" customWidth="1"/>
    <col min="61" max="79" width="12.3333333333333" style="78" customWidth="1"/>
    <col min="80" max="82" width="11.6666666666667" customWidth="1"/>
  </cols>
  <sheetData>
    <row r="1" s="75" customFormat="1" ht="55.95" customHeight="1" spans="1:82">
      <c r="A1" s="79">
        <v>46143</v>
      </c>
      <c r="B1" s="79"/>
      <c r="C1" s="79"/>
      <c r="D1" s="79"/>
      <c r="E1" s="79"/>
      <c r="F1" s="80" t="s">
        <v>0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</row>
    <row r="2" s="76" customFormat="1" ht="22.5" customHeight="1" spans="1:82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4" t="s">
        <v>6</v>
      </c>
      <c r="G2" s="4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82" t="s">
        <v>21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4"/>
      <c r="AZ2" s="85" t="s">
        <v>22</v>
      </c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6"/>
    </row>
    <row r="3" s="76" customFormat="1" ht="22.5" customHeight="1" spans="1:82">
      <c r="A3" s="2"/>
      <c r="B3" s="2"/>
      <c r="C3" s="2"/>
      <c r="D3" s="5"/>
      <c r="E3" s="2"/>
      <c r="F3" s="4"/>
      <c r="G3" s="4"/>
      <c r="H3" s="5"/>
      <c r="I3" s="2"/>
      <c r="J3" s="2"/>
      <c r="K3" s="2"/>
      <c r="L3" s="2"/>
      <c r="M3" s="2"/>
      <c r="N3" s="2"/>
      <c r="O3" s="2"/>
      <c r="P3" s="5"/>
      <c r="Q3" s="2"/>
      <c r="R3" s="2"/>
      <c r="S3" s="2"/>
      <c r="T3" s="2"/>
      <c r="U3" s="87">
        <v>46143</v>
      </c>
      <c r="V3" s="87">
        <f>U3+1</f>
        <v>46144</v>
      </c>
      <c r="W3" s="87">
        <f t="shared" ref="W3:AY3" si="0">V3+1</f>
        <v>46145</v>
      </c>
      <c r="X3" s="87">
        <f t="shared" si="0"/>
        <v>46146</v>
      </c>
      <c r="Y3" s="87">
        <f t="shared" si="0"/>
        <v>46147</v>
      </c>
      <c r="Z3" s="87">
        <f t="shared" si="0"/>
        <v>46148</v>
      </c>
      <c r="AA3" s="87">
        <f t="shared" si="0"/>
        <v>46149</v>
      </c>
      <c r="AB3" s="87">
        <f t="shared" si="0"/>
        <v>46150</v>
      </c>
      <c r="AC3" s="87">
        <f t="shared" si="0"/>
        <v>46151</v>
      </c>
      <c r="AD3" s="87">
        <f t="shared" si="0"/>
        <v>46152</v>
      </c>
      <c r="AE3" s="87">
        <f t="shared" si="0"/>
        <v>46153</v>
      </c>
      <c r="AF3" s="87">
        <f t="shared" si="0"/>
        <v>46154</v>
      </c>
      <c r="AG3" s="87">
        <f t="shared" si="0"/>
        <v>46155</v>
      </c>
      <c r="AH3" s="87">
        <f t="shared" si="0"/>
        <v>46156</v>
      </c>
      <c r="AI3" s="87">
        <f t="shared" si="0"/>
        <v>46157</v>
      </c>
      <c r="AJ3" s="87">
        <f t="shared" si="0"/>
        <v>46158</v>
      </c>
      <c r="AK3" s="87">
        <f t="shared" si="0"/>
        <v>46159</v>
      </c>
      <c r="AL3" s="87">
        <f t="shared" si="0"/>
        <v>46160</v>
      </c>
      <c r="AM3" s="87">
        <f t="shared" si="0"/>
        <v>46161</v>
      </c>
      <c r="AN3" s="87">
        <f t="shared" si="0"/>
        <v>46162</v>
      </c>
      <c r="AO3" s="87">
        <f t="shared" si="0"/>
        <v>46163</v>
      </c>
      <c r="AP3" s="87">
        <f t="shared" si="0"/>
        <v>46164</v>
      </c>
      <c r="AQ3" s="87">
        <f t="shared" si="0"/>
        <v>46165</v>
      </c>
      <c r="AR3" s="87">
        <f t="shared" si="0"/>
        <v>46166</v>
      </c>
      <c r="AS3" s="87">
        <f t="shared" si="0"/>
        <v>46167</v>
      </c>
      <c r="AT3" s="87">
        <f t="shared" si="0"/>
        <v>46168</v>
      </c>
      <c r="AU3" s="87">
        <f t="shared" si="0"/>
        <v>46169</v>
      </c>
      <c r="AV3" s="87">
        <f t="shared" si="0"/>
        <v>46170</v>
      </c>
      <c r="AW3" s="87">
        <f t="shared" si="0"/>
        <v>46171</v>
      </c>
      <c r="AX3" s="87">
        <f t="shared" si="0"/>
        <v>46172</v>
      </c>
      <c r="AY3" s="87">
        <f t="shared" si="0"/>
        <v>46173</v>
      </c>
      <c r="AZ3" s="87">
        <v>46143</v>
      </c>
      <c r="BA3" s="87">
        <f>AZ3+1</f>
        <v>46144</v>
      </c>
      <c r="BB3" s="87">
        <f t="shared" ref="BB3:CD3" si="1">BA3+1</f>
        <v>46145</v>
      </c>
      <c r="BC3" s="87">
        <f t="shared" si="1"/>
        <v>46146</v>
      </c>
      <c r="BD3" s="87">
        <f t="shared" si="1"/>
        <v>46147</v>
      </c>
      <c r="BE3" s="87">
        <f t="shared" si="1"/>
        <v>46148</v>
      </c>
      <c r="BF3" s="87">
        <f t="shared" si="1"/>
        <v>46149</v>
      </c>
      <c r="BG3" s="87">
        <f t="shared" si="1"/>
        <v>46150</v>
      </c>
      <c r="BH3" s="87">
        <f t="shared" si="1"/>
        <v>46151</v>
      </c>
      <c r="BI3" s="87">
        <f t="shared" si="1"/>
        <v>46152</v>
      </c>
      <c r="BJ3" s="87">
        <f t="shared" si="1"/>
        <v>46153</v>
      </c>
      <c r="BK3" s="87">
        <f t="shared" si="1"/>
        <v>46154</v>
      </c>
      <c r="BL3" s="87">
        <f t="shared" si="1"/>
        <v>46155</v>
      </c>
      <c r="BM3" s="87">
        <f t="shared" si="1"/>
        <v>46156</v>
      </c>
      <c r="BN3" s="87">
        <f t="shared" si="1"/>
        <v>46157</v>
      </c>
      <c r="BO3" s="87">
        <f t="shared" si="1"/>
        <v>46158</v>
      </c>
      <c r="BP3" s="87">
        <f t="shared" si="1"/>
        <v>46159</v>
      </c>
      <c r="BQ3" s="87">
        <f t="shared" si="1"/>
        <v>46160</v>
      </c>
      <c r="BR3" s="87">
        <f t="shared" si="1"/>
        <v>46161</v>
      </c>
      <c r="BS3" s="87">
        <f t="shared" si="1"/>
        <v>46162</v>
      </c>
      <c r="BT3" s="87">
        <f t="shared" si="1"/>
        <v>46163</v>
      </c>
      <c r="BU3" s="87">
        <f t="shared" si="1"/>
        <v>46164</v>
      </c>
      <c r="BV3" s="87">
        <f t="shared" si="1"/>
        <v>46165</v>
      </c>
      <c r="BW3" s="87">
        <f t="shared" si="1"/>
        <v>46166</v>
      </c>
      <c r="BX3" s="87">
        <f t="shared" si="1"/>
        <v>46167</v>
      </c>
      <c r="BY3" s="87">
        <f t="shared" si="1"/>
        <v>46168</v>
      </c>
      <c r="BZ3" s="87">
        <f t="shared" si="1"/>
        <v>46169</v>
      </c>
      <c r="CA3" s="87">
        <f t="shared" si="1"/>
        <v>46170</v>
      </c>
      <c r="CB3" s="87">
        <f t="shared" si="1"/>
        <v>46171</v>
      </c>
      <c r="CC3" s="87">
        <f t="shared" si="1"/>
        <v>46172</v>
      </c>
      <c r="CD3" s="87">
        <f t="shared" si="1"/>
        <v>46173</v>
      </c>
    </row>
    <row r="4" s="77" customFormat="1" ht="22.8" customHeight="1" spans="1:82">
      <c r="A4" s="88">
        <f>ROW()-3</f>
        <v>1</v>
      </c>
      <c r="B4" s="91" t="str">
        <f>IFERROR(VLOOKUP(基础数据!B3,基础数据!B:B,1,0),"")</f>
        <v>2GQ</v>
      </c>
      <c r="C4" s="8" t="str">
        <f>IFERROR(VLOOKUP(基础数据!C3,基础数据!C:C,1,0),"")</f>
        <v>浙江富特科技股份有限公司</v>
      </c>
      <c r="D4" s="8" t="str">
        <f>IFERROR(VLOOKUP(基础数据!D3,基础数据!D:D,1,0),"")</f>
        <v/>
      </c>
      <c r="E4" s="8" t="str">
        <f>IFERROR(VLOOKUP(基础数据!E3,基础数据!E:E,1,0),"")</f>
        <v>3.1.03.20.00045-A03</v>
      </c>
      <c r="F4" s="12" t="str">
        <f>IFERROR(VLOOKUP(基础数据!F3,基础数据!F:F,1,0),"")</f>
        <v>A平台车载电源二合一</v>
      </c>
      <c r="G4" s="6">
        <f>IFERROR(VLOOKUP(基础数据!G3,基础数据!G:G,1,0),"")</f>
        <v>45</v>
      </c>
      <c r="H4" s="8" t="str">
        <f>IFERROR(VLOOKUP(基础数据!H3,基础数据!H:H,1,0),"")</f>
        <v>围板箱</v>
      </c>
      <c r="I4" s="88">
        <v>0</v>
      </c>
      <c r="J4" s="88">
        <v>0</v>
      </c>
      <c r="K4" s="88">
        <f>SUMIF(合格品入货记录!E:E,日报!E4,合格品入货记录!G:G)</f>
        <v>0</v>
      </c>
      <c r="L4" s="88">
        <f>SUMIF(合格品出库记录!E:E,日报!E4,合格品出库记录!G:G)</f>
        <v>0</v>
      </c>
      <c r="M4" s="88">
        <f>SUMIF(零跑退回!D:D,日报!E:E,零跑退回!F:F)</f>
        <v>0</v>
      </c>
      <c r="N4" s="88">
        <f>SUMIF(库内不良!D:D,E:E,库内不良!F:F)</f>
        <v>0</v>
      </c>
      <c r="O4" s="88">
        <f>SUMIF(退回供应商!D:D,日报!E:E,退回供应商!F:F)</f>
        <v>0</v>
      </c>
      <c r="P4" s="88">
        <f>R4+Q4</f>
        <v>0</v>
      </c>
      <c r="Q4" s="88">
        <f>J4+M4+N4-O4</f>
        <v>0</v>
      </c>
      <c r="R4" s="89">
        <f>I4+K4-L4-N4</f>
        <v>0</v>
      </c>
      <c r="S4" s="88"/>
      <c r="T4" s="88"/>
      <c r="U4" s="88"/>
      <c r="V4" s="88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" s="88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" s="88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" s="88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" s="88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" s="88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" s="88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" s="88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" s="88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" s="88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" s="88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" s="88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" s="88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" s="88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" s="88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" s="88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" s="88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" s="88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" s="88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" s="88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" s="88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" s="88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" s="88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" s="88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" s="88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" s="88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" s="88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" s="88"/>
      <c r="AX4" s="88"/>
      <c r="AY4" s="88"/>
      <c r="AZ4" s="88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" s="88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" s="88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" s="88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" s="88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" s="88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" s="88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" s="88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" s="88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" s="88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" s="88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" s="88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" s="88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" s="88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" s="88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" s="88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" s="88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" s="88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" s="88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" s="88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" s="88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" s="88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" s="88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" s="88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" s="88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" s="88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" s="88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" s="88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" s="88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" s="88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4" s="88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5" s="77" customFormat="1" ht="22.8" customHeight="1" spans="1:82">
      <c r="A5" s="88">
        <f>ROW()-3</f>
        <v>2</v>
      </c>
      <c r="B5" s="91" t="str">
        <f>IFERROR(VLOOKUP(基础数据!B4,基础数据!B:B,1,0),"")</f>
        <v>2GQ</v>
      </c>
      <c r="C5" s="8" t="str">
        <f>IFERROR(VLOOKUP(基础数据!C4,基础数据!C:C,1,0),"")</f>
        <v>浙江富特科技股份有限公司</v>
      </c>
      <c r="D5" s="8" t="str">
        <f>IFERROR(VLOOKUP(基础数据!D4,基础数据!D:D,1,0),"")</f>
        <v/>
      </c>
      <c r="E5" s="8" t="str">
        <f>IFERROR(VLOOKUP(基础数据!E4,基础数据!E:E,1,0),"")</f>
        <v>3.1.03.20.00073</v>
      </c>
      <c r="F5" s="12" t="str">
        <f>IFERROR(VLOOKUP(基础数据!F4,基础数据!F:F,1,0),"")</f>
        <v>车载电源二合一</v>
      </c>
      <c r="G5" s="6">
        <v>45</v>
      </c>
      <c r="H5" s="8" t="str">
        <f>IFERROR(VLOOKUP(基础数据!H4,基础数据!H:H,1,0),"")</f>
        <v>围板箱</v>
      </c>
      <c r="I5" s="88">
        <v>3757</v>
      </c>
      <c r="J5" s="88">
        <v>0</v>
      </c>
      <c r="K5" s="88">
        <f>SUMIF(合格品入货记录!E:E,日报!E5,合格品入货记录!G:G)</f>
        <v>4455</v>
      </c>
      <c r="L5" s="88">
        <f>SUMIF(合格品出库记录!E:E,日报!E5,合格品出库记录!G:G)</f>
        <v>4500</v>
      </c>
      <c r="M5" s="88">
        <f>SUMIF(零跑退回!D:D,日报!E:E,零跑退回!F:F)</f>
        <v>63</v>
      </c>
      <c r="N5" s="88">
        <f>SUMIF(库内不良!D:D,E:E,库内不良!F:F)</f>
        <v>52</v>
      </c>
      <c r="O5" s="88">
        <f>SUMIF(退回供应商!D:D,日报!E:E,退回供应商!F:F)</f>
        <v>115</v>
      </c>
      <c r="P5" s="88">
        <f>R5+Q5</f>
        <v>3660</v>
      </c>
      <c r="Q5" s="88">
        <f>J5+M5+N5-O5</f>
        <v>0</v>
      </c>
      <c r="R5" s="89">
        <f>I5+K5-L5-N5</f>
        <v>3660</v>
      </c>
      <c r="S5" s="88"/>
      <c r="T5" s="88"/>
      <c r="U5" s="88"/>
      <c r="V5" s="88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" s="88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" s="88">
        <f>IF(SUMIFS(合格品入货记录!$G:$G,合格品入货记录!$E:$E,日报!$E:$E,合格品入货记录!$A:$A,日报!X$3)&lt;&gt;0,SUMIFS(合格品入货记录!$G:$G,合格品入货记录!$E:$E,日报!$E:$E,合格品入货记录!$A:$A,日报!X$3),"")</f>
        <v>1260</v>
      </c>
      <c r="Y5" s="88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" s="88">
        <f>IF(SUMIFS(合格品入货记录!$G:$G,合格品入货记录!$E:$E,日报!$E:$E,合格品入货记录!$A:$A,日报!Z$3)&lt;&gt;0,SUMIFS(合格品入货记录!$G:$G,合格品入货记录!$E:$E,日报!$E:$E,合格品入货记录!$A:$A,日报!Z$3),"")</f>
        <v>945</v>
      </c>
      <c r="AA5" s="88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" s="88">
        <f>IF(SUMIFS(合格品入货记录!$G:$G,合格品入货记录!$E:$E,日报!$E:$E,合格品入货记录!$A:$A,日报!AB$3)&lt;&gt;0,SUMIFS(合格品入货记录!$G:$G,合格品入货记录!$E:$E,日报!$E:$E,合格品入货记录!$A:$A,日报!AB$3),"")</f>
        <v>990</v>
      </c>
      <c r="AC5" s="88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" s="88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" s="88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" s="88">
        <f>IF(SUMIFS(合格品入货记录!$G:$G,合格品入货记录!$E:$E,日报!$E:$E,合格品入货记录!$A:$A,日报!AF$3)&lt;&gt;0,SUMIFS(合格品入货记录!$G:$G,合格品入货记录!$E:$E,日报!$E:$E,合格品入货记录!$A:$A,日报!AF$3),"")</f>
        <v>1260</v>
      </c>
      <c r="AG5" s="88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" s="88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" s="88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" s="88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" s="88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" s="88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" s="88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" s="88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" s="88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" s="88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" s="88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" s="88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" s="88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" s="88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" s="88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5" s="88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5" s="88"/>
      <c r="AX5" s="88"/>
      <c r="AY5" s="88"/>
      <c r="AZ5" s="88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" s="88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" s="88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5" s="88">
        <f>IF(SUMIFS(合格品出库记录!$G:$G,合格品出库记录!$E:$E,日报!$E:$E,合格品出库记录!$A:$A,日报!BC$3)&lt;&gt;0,SUMIFS(合格品出库记录!$G:$G,合格品出库记录!$E:$E,日报!$E:$E,合格品出库记录!$A:$A,日报!BC$3),"")</f>
        <v>1215</v>
      </c>
      <c r="BD5" s="88">
        <f>IF(SUMIFS(合格品出库记录!$G:$G,合格品出库记录!$E:$E,日报!$E:$E,合格品出库记录!$A:$A,日报!BD$3)&lt;&gt;0,SUMIFS(合格品出库记录!$G:$G,合格品出库记录!$E:$E,日报!$E:$E,合格品出库记录!$A:$A,日报!BD$3),"")</f>
        <v>1215</v>
      </c>
      <c r="BE5" s="88">
        <f>IF(SUMIFS(合格品出库记录!$G:$G,合格品出库记录!$E:$E,日报!$E:$E,合格品出库记录!$A:$A,日报!BE$3)&lt;&gt;0,SUMIFS(合格品出库记录!$G:$G,合格品出库记录!$E:$E,日报!$E:$E,合格品出库记录!$A:$A,日报!BE$3),"")</f>
        <v>1035</v>
      </c>
      <c r="BF5" s="88">
        <f>IF(SUMIFS(合格品出库记录!$G:$G,合格品出库记录!$E:$E,日报!$E:$E,合格品出库记录!$A:$A,日报!BF$3)&lt;&gt;0,SUMIFS(合格品出库记录!$G:$G,合格品出库记录!$E:$E,日报!$E:$E,合格品出库记录!$A:$A,日报!BF$3),"")</f>
        <v>1035</v>
      </c>
      <c r="BG5" s="88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5" s="88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" s="88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" s="88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" s="88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" s="88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" s="88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" s="88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" s="88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" s="88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" s="88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" s="88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" s="88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" s="88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" s="88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" s="88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" s="88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" s="88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" s="88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" s="88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5" s="88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5" s="88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5" s="88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5" s="88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  <row r="6" s="77" customFormat="1" ht="22.5" customHeight="1" spans="1:82">
      <c r="A6" s="88">
        <f>ROW()-3</f>
        <v>3</v>
      </c>
      <c r="B6" s="91" t="str">
        <f>IFERROR(VLOOKUP(基础数据!B5,基础数据!B:B,1,0),"")</f>
        <v>2GQ</v>
      </c>
      <c r="C6" s="8" t="str">
        <f>IFERROR(VLOOKUP(基础数据!C5,基础数据!C:C,1,0),"")</f>
        <v>浙江富特科技股份有限公司</v>
      </c>
      <c r="D6" s="8" t="str">
        <f>IFERROR(VLOOKUP(基础数据!D5,基础数据!D:D,1,0),"")</f>
        <v/>
      </c>
      <c r="E6" s="8" t="str">
        <f>IFERROR(VLOOKUP(基础数据!E5,基础数据!E:E,1,0),"")</f>
        <v>3.1.03.20.00143</v>
      </c>
      <c r="F6" s="90" t="str">
        <f>IFERROR(VLOOKUP(基础数据!F5,基础数据!F:F,1,0),"")</f>
        <v>800V车载二合一电源总成</v>
      </c>
      <c r="G6" s="88">
        <f>IFERROR(VLOOKUP(基础数据!G5,基础数据!G:G,1,0),"")</f>
        <v>45</v>
      </c>
      <c r="H6" s="28" t="str">
        <f>IFERROR(VLOOKUP(基础数据!H5,基础数据!H:H,1,0),"")</f>
        <v>围板箱</v>
      </c>
      <c r="I6" s="88">
        <v>0</v>
      </c>
      <c r="J6" s="88">
        <v>0</v>
      </c>
      <c r="K6" s="88">
        <f>SUMIF(合格品入货记录!E:E,日报!E6,合格品入货记录!G:G)</f>
        <v>0</v>
      </c>
      <c r="L6" s="88">
        <f>SUMIF(合格品出库记录!E:E,日报!E6,合格品出库记录!G:G)</f>
        <v>0</v>
      </c>
      <c r="M6" s="88">
        <f>SUMIF(零跑退回!D:D,日报!E:E,零跑退回!F:F)</f>
        <v>182</v>
      </c>
      <c r="N6" s="88">
        <f>SUMIF(库内不良!D:D,E:E,库内不良!F:F)</f>
        <v>0</v>
      </c>
      <c r="O6" s="88">
        <f>SUMIF(退回供应商!D:D,日报!E:E,退回供应商!F:F)</f>
        <v>182</v>
      </c>
      <c r="P6" s="88">
        <f>R6+Q6</f>
        <v>0</v>
      </c>
      <c r="Q6" s="88">
        <f>J6+M6+N6-O6</f>
        <v>0</v>
      </c>
      <c r="R6" s="89">
        <f>I6+K6-L6-N6</f>
        <v>0</v>
      </c>
      <c r="S6" s="88"/>
      <c r="T6" s="88"/>
      <c r="U6" s="88"/>
      <c r="V6" s="88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" s="88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" s="88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" s="88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" s="88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" s="88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" s="88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" s="88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" s="88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" s="88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" s="88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" s="88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" s="88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" s="88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" s="88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" s="88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" s="88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" s="88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" s="88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" s="88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" s="88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" s="88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" s="88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" s="88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" s="88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" s="88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6" s="88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6" s="88"/>
      <c r="AX6" s="88"/>
      <c r="AY6" s="88"/>
      <c r="AZ6" s="88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" s="88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" s="88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" s="88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" s="88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" s="88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" s="88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" s="88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" s="88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" s="88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" s="88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" s="88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" s="88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" s="88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" s="88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" s="88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" s="88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" s="88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" s="88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" s="88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" s="88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" s="88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" s="88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" s="88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" s="88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" s="88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" s="88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6" s="88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6" s="88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6" s="88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  <c r="CD6" s="88" t="str">
        <f>IF(SUMIFS(合格品出库记录!$G:$G,合格品出库记录!$E:$E,日报!$E:$E,合格品出库记录!$A:$A,日报!CD$3)&lt;&gt;0,SUMIFS(合格品出库记录!$G:$G,合格品出库记录!$E:$E,日报!$E:$E,合格品出库记录!$A:$A,日报!CD$3),"")</f>
        <v/>
      </c>
    </row>
  </sheetData>
  <sheetProtection selectLockedCells="1" selectUnlockedCells="1"/>
  <mergeCells count="23">
    <mergeCell ref="A1:E1"/>
    <mergeCell ref="U2:AY2"/>
    <mergeCell ref="AZ2:C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</mergeCells>
  <conditionalFormatting sqref="R4:R6">
    <cfRule type="cellIs" dxfId="0" priority="152" operator="lessThanOrEqual">
      <formula>300</formula>
    </cfRule>
    <cfRule type="cellIs" dxfId="1" priority="155" operator="greaterThan">
      <formula>300</formula>
    </cfRule>
  </conditionalFormatting>
  <conditionalFormatting sqref="E2:E3 D2">
    <cfRule type="duplicateValues" dxfId="2" priority="4"/>
  </conditionalFormatting>
  <pageMargins left="0.708244776162576" right="0.708244776162576" top="0.747823152016467" bottom="0.747823152016467" header="0.315238382872634" footer="0.315238382872634"/>
  <pageSetup paperSize="9" scale="3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0"/>
  <sheetViews>
    <sheetView showGridLines="0" tabSelected="1" zoomScale="70" zoomScaleNormal="70" workbookViewId="0">
      <pane ySplit="1" topLeftCell="A2" activePane="bottomLeft" state="frozen"/>
      <selection/>
      <selection pane="bottomLeft" activeCell="D19" sqref="D19"/>
    </sheetView>
  </sheetViews>
  <sheetFormatPr defaultColWidth="11.3333333333333" defaultRowHeight="22.95" customHeight="1"/>
  <cols>
    <col min="1" max="1" width="13" style="62" customWidth="1"/>
    <col min="2" max="2" width="12.3333333333333" style="42" customWidth="1"/>
    <col min="3" max="3" width="32.7777777777778" style="42" customWidth="1"/>
    <col min="4" max="5" width="26.5555555555556" style="42" customWidth="1"/>
    <col min="6" max="6" width="39.6666666666667" style="43" customWidth="1"/>
    <col min="7" max="7" width="11.2222222222222" style="42" customWidth="1"/>
    <col min="8" max="8" width="12.5555555555556" style="44" customWidth="1"/>
    <col min="9" max="9" width="10.4444444444444" style="42" customWidth="1"/>
    <col min="10" max="10" width="12.6666666666667" style="63"/>
    <col min="11" max="11" width="17.2222222222222" style="64" customWidth="1"/>
    <col min="12" max="16384" width="11.3333333333333" style="65"/>
  </cols>
  <sheetData>
    <row r="1" s="61" customFormat="1" ht="42" customHeight="1" spans="1:11">
      <c r="A1" s="66" t="s">
        <v>23</v>
      </c>
      <c r="B1" s="67" t="s">
        <v>24</v>
      </c>
      <c r="C1" s="67" t="s">
        <v>3</v>
      </c>
      <c r="D1" s="67" t="s">
        <v>25</v>
      </c>
      <c r="E1" s="67" t="s">
        <v>26</v>
      </c>
      <c r="F1" s="67" t="s">
        <v>6</v>
      </c>
      <c r="G1" s="67" t="s">
        <v>27</v>
      </c>
      <c r="H1" s="67" t="s">
        <v>28</v>
      </c>
      <c r="I1" s="67" t="s">
        <v>29</v>
      </c>
      <c r="J1" s="68" t="s">
        <v>30</v>
      </c>
      <c r="K1" s="69" t="s">
        <v>31</v>
      </c>
    </row>
    <row r="2" customHeight="1" spans="1:11">
      <c r="A2" s="51">
        <v>46146</v>
      </c>
      <c r="B2" s="92" t="s">
        <v>32</v>
      </c>
      <c r="C2" s="8" t="s">
        <v>33</v>
      </c>
      <c r="D2" s="31"/>
      <c r="E2" s="9" t="s">
        <v>34</v>
      </c>
      <c r="F2" s="9" t="str">
        <f>VLOOKUP(E2,基础数据!E:F,2,0)</f>
        <v>车载电源二合一</v>
      </c>
      <c r="G2" s="31">
        <v>1260</v>
      </c>
      <c r="H2" s="8" t="str">
        <f>VLOOKUP(E2,基础数据!E:H,4,0)</f>
        <v>围板箱</v>
      </c>
      <c r="I2" s="37">
        <f>VLOOKUP(E2,基础数据!E:G,3,0)</f>
        <v>45</v>
      </c>
      <c r="J2" s="38">
        <f>G2/I2</f>
        <v>28</v>
      </c>
      <c r="K2" s="70" t="s">
        <v>35</v>
      </c>
    </row>
    <row r="3" customHeight="1" spans="1:11">
      <c r="A3" s="51">
        <v>46148</v>
      </c>
      <c r="B3" s="92" t="s">
        <v>32</v>
      </c>
      <c r="C3" s="8" t="s">
        <v>33</v>
      </c>
      <c r="D3" s="31"/>
      <c r="E3" s="9" t="s">
        <v>34</v>
      </c>
      <c r="F3" s="9" t="str">
        <f>VLOOKUP(E3,基础数据!E:F,2,0)</f>
        <v>车载电源二合一</v>
      </c>
      <c r="G3" s="31">
        <v>945</v>
      </c>
      <c r="H3" s="8" t="str">
        <f>VLOOKUP(E3,基础数据!E:H,4,0)</f>
        <v>围板箱</v>
      </c>
      <c r="I3" s="37">
        <f>VLOOKUP(E3,基础数据!E:G,3,0)</f>
        <v>45</v>
      </c>
      <c r="J3" s="38">
        <f>G3/I3</f>
        <v>21</v>
      </c>
      <c r="K3" s="70" t="s">
        <v>35</v>
      </c>
    </row>
    <row r="4" customHeight="1" spans="1:11">
      <c r="A4" s="51">
        <v>46150</v>
      </c>
      <c r="B4" s="92" t="s">
        <v>32</v>
      </c>
      <c r="C4" s="8" t="s">
        <v>33</v>
      </c>
      <c r="D4" s="31"/>
      <c r="E4" s="9" t="s">
        <v>34</v>
      </c>
      <c r="F4" s="9" t="str">
        <f>VLOOKUP(E4,基础数据!E:F,2,0)</f>
        <v>车载电源二合一</v>
      </c>
      <c r="G4" s="31">
        <v>990</v>
      </c>
      <c r="H4" s="8" t="str">
        <f>VLOOKUP(E4,基础数据!E:H,4,0)</f>
        <v>围板箱</v>
      </c>
      <c r="I4" s="37">
        <f>VLOOKUP(E4,基础数据!E:G,3,0)</f>
        <v>45</v>
      </c>
      <c r="J4" s="38">
        <f>G4/I4</f>
        <v>22</v>
      </c>
      <c r="K4" s="70" t="s">
        <v>35</v>
      </c>
    </row>
    <row r="5" customHeight="1" spans="1:11">
      <c r="A5" s="51">
        <v>46154</v>
      </c>
      <c r="B5" s="92" t="s">
        <v>32</v>
      </c>
      <c r="C5" s="8" t="s">
        <v>33</v>
      </c>
      <c r="D5" s="31"/>
      <c r="E5" s="9" t="s">
        <v>34</v>
      </c>
      <c r="F5" s="9" t="str">
        <f>VLOOKUP(E5,基础数据!E:F,2,0)</f>
        <v>车载电源二合一</v>
      </c>
      <c r="G5" s="31">
        <v>1260</v>
      </c>
      <c r="H5" s="8" t="str">
        <f>VLOOKUP(E5,基础数据!E:H,4,0)</f>
        <v>围板箱</v>
      </c>
      <c r="I5" s="37">
        <f>VLOOKUP(E5,基础数据!E:G,3,0)</f>
        <v>45</v>
      </c>
      <c r="J5" s="38">
        <f>G5/I5</f>
        <v>28</v>
      </c>
      <c r="K5" s="70" t="s">
        <v>35</v>
      </c>
    </row>
    <row r="6" customHeight="1" spans="1:11">
      <c r="A6" s="51"/>
      <c r="B6" s="8"/>
      <c r="C6" s="8"/>
      <c r="D6" s="31"/>
      <c r="E6" s="9"/>
      <c r="F6" s="9"/>
      <c r="G6" s="31"/>
      <c r="H6" s="8"/>
      <c r="I6" s="37"/>
      <c r="J6" s="38"/>
      <c r="K6" s="70"/>
    </row>
    <row r="7" customHeight="1" spans="1:11">
      <c r="A7" s="51"/>
      <c r="B7" s="8"/>
      <c r="C7" s="8"/>
      <c r="D7" s="31"/>
      <c r="E7" s="9"/>
      <c r="F7" s="9"/>
      <c r="G7" s="31"/>
      <c r="H7" s="8"/>
      <c r="I7" s="37"/>
      <c r="J7" s="38"/>
      <c r="K7" s="70"/>
    </row>
    <row r="8" customHeight="1" spans="1:11">
      <c r="A8" s="51"/>
      <c r="B8" s="8"/>
      <c r="C8" s="8"/>
      <c r="D8" s="31"/>
      <c r="E8" s="9"/>
      <c r="F8" s="9"/>
      <c r="G8" s="31"/>
      <c r="H8" s="8"/>
      <c r="I8" s="37"/>
      <c r="J8" s="38"/>
      <c r="K8" s="70"/>
    </row>
    <row r="9" customHeight="1" spans="1:11">
      <c r="A9" s="51"/>
      <c r="B9" s="8"/>
      <c r="C9" s="8"/>
      <c r="D9" s="31"/>
      <c r="E9" s="9"/>
      <c r="F9" s="9"/>
      <c r="G9" s="31"/>
      <c r="H9" s="8"/>
      <c r="I9" s="37"/>
      <c r="J9" s="38"/>
      <c r="K9" s="70"/>
    </row>
    <row r="10" customHeight="1" spans="1:11">
      <c r="A10" s="51"/>
      <c r="B10" s="8"/>
      <c r="C10" s="8"/>
      <c r="D10" s="31"/>
      <c r="E10" s="9"/>
      <c r="F10" s="9"/>
      <c r="G10" s="31"/>
      <c r="H10" s="8"/>
      <c r="I10" s="37"/>
      <c r="J10" s="38"/>
      <c r="K10" s="70"/>
    </row>
    <row r="11" customHeight="1" spans="1:11">
      <c r="A11" s="51"/>
      <c r="B11" s="8"/>
      <c r="C11" s="8"/>
      <c r="D11" s="31"/>
      <c r="E11" s="9"/>
      <c r="F11" s="9"/>
      <c r="G11" s="31"/>
      <c r="H11" s="8"/>
      <c r="I11" s="37"/>
      <c r="J11" s="38"/>
      <c r="K11" s="70"/>
    </row>
    <row r="12" customHeight="1" spans="1:11">
      <c r="A12" s="51"/>
      <c r="B12" s="8"/>
      <c r="C12" s="8"/>
      <c r="D12" s="31"/>
      <c r="E12" s="9"/>
      <c r="F12" s="9"/>
      <c r="G12" s="31"/>
      <c r="H12" s="8"/>
      <c r="I12" s="37"/>
      <c r="J12" s="38"/>
      <c r="K12" s="70"/>
    </row>
    <row r="13" customHeight="1" spans="1:11">
      <c r="A13" s="51"/>
      <c r="B13" s="8"/>
      <c r="C13" s="8"/>
      <c r="D13" s="31"/>
      <c r="E13" s="31"/>
      <c r="F13" s="71"/>
      <c r="G13" s="31"/>
      <c r="H13" s="72"/>
      <c r="I13" s="37"/>
      <c r="J13" s="38"/>
      <c r="K13" s="70"/>
    </row>
    <row r="14" customHeight="1" spans="1:11">
      <c r="A14" s="51"/>
      <c r="B14" s="31"/>
      <c r="C14" s="31"/>
      <c r="D14" s="31"/>
      <c r="E14" s="31"/>
      <c r="F14" s="71"/>
      <c r="G14" s="31"/>
      <c r="H14" s="72"/>
      <c r="I14" s="37"/>
      <c r="J14" s="38"/>
      <c r="K14" s="70"/>
    </row>
    <row r="15" customHeight="1" spans="1:11">
      <c r="A15" s="51"/>
      <c r="B15" s="31"/>
      <c r="C15" s="31"/>
      <c r="D15" s="31"/>
      <c r="E15" s="31"/>
      <c r="F15" s="71"/>
      <c r="G15" s="31"/>
      <c r="H15" s="72"/>
      <c r="I15" s="37"/>
      <c r="J15" s="38"/>
      <c r="K15" s="70"/>
    </row>
    <row r="16" customHeight="1" spans="1:11">
      <c r="A16" s="51"/>
      <c r="B16" s="31"/>
      <c r="C16" s="31"/>
      <c r="D16" s="31"/>
      <c r="E16" s="31"/>
      <c r="F16" s="71"/>
      <c r="G16" s="31"/>
      <c r="H16" s="72"/>
      <c r="I16" s="37"/>
      <c r="J16" s="38"/>
      <c r="K16" s="70"/>
    </row>
    <row r="17" customHeight="1" spans="1:11">
      <c r="A17" s="51"/>
      <c r="B17" s="31"/>
      <c r="C17" s="31"/>
      <c r="D17" s="31"/>
      <c r="E17" s="31"/>
      <c r="F17" s="71" t="str">
        <f>IFERROR(VLOOKUP(E17,日报!E:F,2,0),"")</f>
        <v/>
      </c>
      <c r="G17" s="31"/>
      <c r="H17" s="72" t="str">
        <f>IFERROR(VLOOKUP(E17,日报!E:H,4,0),"")</f>
        <v/>
      </c>
      <c r="I17" s="37" t="str">
        <f>IFERROR(VLOOKUP(E17,日报!E:G,3,0),"")</f>
        <v/>
      </c>
      <c r="J17" s="38" t="str">
        <f t="shared" ref="J4:J67" si="0">IFERROR(G17/I17,"")</f>
        <v/>
      </c>
      <c r="K17" s="70"/>
    </row>
    <row r="18" customHeight="1" spans="1:11">
      <c r="A18" s="51"/>
      <c r="B18" s="31"/>
      <c r="C18" s="31"/>
      <c r="D18" s="31"/>
      <c r="E18" s="31"/>
      <c r="F18" s="71" t="str">
        <f>IFERROR(VLOOKUP(E18,日报!E:F,2,0),"")</f>
        <v/>
      </c>
      <c r="G18" s="31"/>
      <c r="H18" s="72" t="str">
        <f>IFERROR(VLOOKUP(E18,日报!E:H,4,0),"")</f>
        <v/>
      </c>
      <c r="I18" s="37" t="str">
        <f>IFERROR(VLOOKUP(E18,日报!E:G,3,0),"")</f>
        <v/>
      </c>
      <c r="J18" s="38" t="str">
        <f t="shared" si="0"/>
        <v/>
      </c>
      <c r="K18" s="70"/>
    </row>
    <row r="19" customHeight="1" spans="1:11">
      <c r="A19" s="51"/>
      <c r="B19" s="31"/>
      <c r="C19" s="31"/>
      <c r="D19" s="31"/>
      <c r="E19" s="31"/>
      <c r="F19" s="71" t="str">
        <f>IFERROR(VLOOKUP(E19,日报!E:F,2,0),"")</f>
        <v/>
      </c>
      <c r="G19" s="31"/>
      <c r="H19" s="72" t="str">
        <f>IFERROR(VLOOKUP(E19,日报!E:H,4,0),"")</f>
        <v/>
      </c>
      <c r="I19" s="37" t="str">
        <f>IFERROR(VLOOKUP(E19,日报!E:G,3,0),"")</f>
        <v/>
      </c>
      <c r="J19" s="38" t="str">
        <f t="shared" si="0"/>
        <v/>
      </c>
      <c r="K19" s="70"/>
    </row>
    <row r="20" customHeight="1" spans="1:11">
      <c r="A20" s="51"/>
      <c r="B20" s="31"/>
      <c r="C20" s="31"/>
      <c r="D20" s="31"/>
      <c r="E20" s="31"/>
      <c r="F20" s="71" t="str">
        <f>IFERROR(VLOOKUP(E20,日报!E:F,2,0),"")</f>
        <v/>
      </c>
      <c r="G20" s="31"/>
      <c r="H20" s="72" t="str">
        <f>IFERROR(VLOOKUP(E20,日报!E:H,4,0),"")</f>
        <v/>
      </c>
      <c r="I20" s="37" t="str">
        <f>IFERROR(VLOOKUP(E20,日报!E:G,3,0),"")</f>
        <v/>
      </c>
      <c r="J20" s="38" t="str">
        <f t="shared" si="0"/>
        <v/>
      </c>
      <c r="K20" s="70"/>
    </row>
    <row r="21" customHeight="1" spans="1:11">
      <c r="A21" s="51"/>
      <c r="B21" s="31"/>
      <c r="C21" s="31"/>
      <c r="D21" s="31"/>
      <c r="E21" s="31"/>
      <c r="F21" s="71" t="str">
        <f>IFERROR(VLOOKUP(E21,日报!E:F,2,0),"")</f>
        <v/>
      </c>
      <c r="G21" s="31"/>
      <c r="H21" s="72" t="str">
        <f>IFERROR(VLOOKUP(E21,日报!E:H,4,0),"")</f>
        <v/>
      </c>
      <c r="I21" s="37" t="str">
        <f>IFERROR(VLOOKUP(E21,日报!E:G,3,0),"")</f>
        <v/>
      </c>
      <c r="J21" s="38" t="str">
        <f t="shared" si="0"/>
        <v/>
      </c>
      <c r="K21" s="70"/>
    </row>
    <row r="22" customHeight="1" spans="1:11">
      <c r="A22" s="51"/>
      <c r="B22" s="31"/>
      <c r="C22" s="31"/>
      <c r="D22" s="31"/>
      <c r="E22" s="31"/>
      <c r="F22" s="71" t="str">
        <f>IFERROR(VLOOKUP(E22,日报!E:F,2,0),"")</f>
        <v/>
      </c>
      <c r="G22" s="31"/>
      <c r="H22" s="72" t="str">
        <f>IFERROR(VLOOKUP(E22,日报!E:H,4,0),"")</f>
        <v/>
      </c>
      <c r="I22" s="37" t="str">
        <f>IFERROR(VLOOKUP(E22,日报!E:G,3,0),"")</f>
        <v/>
      </c>
      <c r="J22" s="38" t="str">
        <f t="shared" si="0"/>
        <v/>
      </c>
      <c r="K22" s="70"/>
    </row>
    <row r="23" customHeight="1" spans="1:11">
      <c r="A23" s="51"/>
      <c r="B23" s="31"/>
      <c r="C23" s="31"/>
      <c r="D23" s="31"/>
      <c r="E23" s="31"/>
      <c r="F23" s="71" t="str">
        <f>IFERROR(VLOOKUP(E23,日报!E:F,2,0),"")</f>
        <v/>
      </c>
      <c r="G23" s="31"/>
      <c r="H23" s="72" t="str">
        <f>IFERROR(VLOOKUP(E23,日报!E:H,4,0),"")</f>
        <v/>
      </c>
      <c r="I23" s="37" t="str">
        <f>IFERROR(VLOOKUP(E23,日报!E:G,3,0),"")</f>
        <v/>
      </c>
      <c r="J23" s="38" t="str">
        <f t="shared" si="0"/>
        <v/>
      </c>
      <c r="K23" s="70"/>
    </row>
    <row r="24" customHeight="1" spans="1:11">
      <c r="A24" s="51"/>
      <c r="B24" s="36"/>
      <c r="C24" s="8"/>
      <c r="D24" s="31"/>
      <c r="E24" s="31"/>
      <c r="F24" s="71" t="str">
        <f>IFERROR(VLOOKUP(E24,日报!E:F,2,0),"")</f>
        <v/>
      </c>
      <c r="G24" s="31"/>
      <c r="H24" s="72" t="str">
        <f>IFERROR(VLOOKUP(E24,日报!E:H,4,0),"")</f>
        <v/>
      </c>
      <c r="I24" s="37" t="str">
        <f>IFERROR(VLOOKUP(E24,日报!E:G,3,0),"")</f>
        <v/>
      </c>
      <c r="J24" s="38" t="str">
        <f t="shared" si="0"/>
        <v/>
      </c>
      <c r="K24" s="70"/>
    </row>
    <row r="25" customHeight="1" spans="1:11">
      <c r="A25" s="51"/>
      <c r="B25" s="36"/>
      <c r="C25" s="8"/>
      <c r="D25" s="31"/>
      <c r="E25" s="31"/>
      <c r="F25" s="71" t="str">
        <f>IFERROR(VLOOKUP(E25,日报!E:F,2,0),"")</f>
        <v/>
      </c>
      <c r="G25" s="31"/>
      <c r="H25" s="72" t="str">
        <f>IFERROR(VLOOKUP(E25,日报!E:H,4,0),"")</f>
        <v/>
      </c>
      <c r="I25" s="37" t="str">
        <f>IFERROR(VLOOKUP(E25,日报!E:G,3,0),"")</f>
        <v/>
      </c>
      <c r="J25" s="38" t="str">
        <f t="shared" si="0"/>
        <v/>
      </c>
      <c r="K25" s="70"/>
    </row>
    <row r="26" customHeight="1" spans="1:11">
      <c r="A26" s="51"/>
      <c r="B26" s="36"/>
      <c r="C26" s="8"/>
      <c r="D26" s="31"/>
      <c r="E26" s="31"/>
      <c r="F26" s="71" t="str">
        <f>IFERROR(VLOOKUP(E26,日报!E:F,2,0),"")</f>
        <v/>
      </c>
      <c r="G26" s="31"/>
      <c r="H26" s="72" t="str">
        <f>IFERROR(VLOOKUP(E26,日报!E:H,4,0),"")</f>
        <v/>
      </c>
      <c r="I26" s="37" t="str">
        <f>IFERROR(VLOOKUP(E26,日报!E:G,3,0),"")</f>
        <v/>
      </c>
      <c r="J26" s="38" t="str">
        <f t="shared" si="0"/>
        <v/>
      </c>
      <c r="K26" s="70"/>
    </row>
    <row r="27" customHeight="1" spans="1:11">
      <c r="A27" s="51"/>
      <c r="B27" s="36"/>
      <c r="C27" s="8"/>
      <c r="D27" s="31"/>
      <c r="E27" s="31"/>
      <c r="F27" s="71" t="str">
        <f>IFERROR(VLOOKUP(E27,日报!E:F,2,0),"")</f>
        <v/>
      </c>
      <c r="G27" s="31"/>
      <c r="H27" s="72" t="str">
        <f>IFERROR(VLOOKUP(E27,日报!E:H,4,0),"")</f>
        <v/>
      </c>
      <c r="I27" s="37" t="str">
        <f>IFERROR(VLOOKUP(E27,日报!E:G,3,0),"")</f>
        <v/>
      </c>
      <c r="J27" s="38" t="str">
        <f t="shared" si="0"/>
        <v/>
      </c>
      <c r="K27" s="70"/>
    </row>
    <row r="28" customHeight="1" spans="1:11">
      <c r="A28" s="51"/>
      <c r="B28" s="36"/>
      <c r="C28" s="36"/>
      <c r="D28" s="31"/>
      <c r="E28" s="31"/>
      <c r="F28" s="71" t="str">
        <f>IFERROR(VLOOKUP(E28,日报!E:F,2,0),"")</f>
        <v/>
      </c>
      <c r="G28" s="31"/>
      <c r="H28" s="72" t="str">
        <f>IFERROR(VLOOKUP(E28,日报!E:H,4,0),"")</f>
        <v/>
      </c>
      <c r="I28" s="37" t="str">
        <f>IFERROR(VLOOKUP(E28,日报!E:G,3,0),"")</f>
        <v/>
      </c>
      <c r="J28" s="38" t="str">
        <f t="shared" si="0"/>
        <v/>
      </c>
      <c r="K28" s="70"/>
    </row>
    <row r="29" customHeight="1" spans="1:11">
      <c r="A29" s="51"/>
      <c r="B29" s="36"/>
      <c r="C29" s="36"/>
      <c r="D29" s="31"/>
      <c r="E29" s="31"/>
      <c r="F29" s="71" t="str">
        <f>IFERROR(VLOOKUP(E29,日报!E:F,2,0),"")</f>
        <v/>
      </c>
      <c r="G29" s="31"/>
      <c r="H29" s="72" t="str">
        <f>IFERROR(VLOOKUP(E29,日报!E:H,4,0),"")</f>
        <v/>
      </c>
      <c r="I29" s="37" t="str">
        <f>IFERROR(VLOOKUP(E29,日报!E:G,3,0),"")</f>
        <v/>
      </c>
      <c r="J29" s="38" t="str">
        <f t="shared" si="0"/>
        <v/>
      </c>
      <c r="K29" s="70"/>
    </row>
    <row r="30" customHeight="1" spans="1:11">
      <c r="A30" s="51"/>
      <c r="B30" s="36"/>
      <c r="C30" s="36"/>
      <c r="D30" s="31"/>
      <c r="E30" s="31"/>
      <c r="F30" s="71" t="str">
        <f>IFERROR(VLOOKUP(E30,日报!E:F,2,0),"")</f>
        <v/>
      </c>
      <c r="G30" s="31"/>
      <c r="H30" s="72" t="str">
        <f>IFERROR(VLOOKUP(E30,日报!E:H,4,0),"")</f>
        <v/>
      </c>
      <c r="I30" s="37" t="str">
        <f>IFERROR(VLOOKUP(E30,日报!E:G,3,0),"")</f>
        <v/>
      </c>
      <c r="J30" s="38" t="str">
        <f t="shared" si="0"/>
        <v/>
      </c>
      <c r="K30" s="70"/>
    </row>
    <row r="31" customHeight="1" spans="1:11">
      <c r="A31" s="51"/>
      <c r="B31" s="36"/>
      <c r="C31" s="36"/>
      <c r="D31" s="31"/>
      <c r="E31" s="31"/>
      <c r="F31" s="71" t="str">
        <f>IFERROR(VLOOKUP(E31,日报!E:F,2,0),"")</f>
        <v/>
      </c>
      <c r="G31" s="31"/>
      <c r="H31" s="72" t="str">
        <f>IFERROR(VLOOKUP(E31,日报!E:H,4,0),"")</f>
        <v/>
      </c>
      <c r="I31" s="37" t="str">
        <f>IFERROR(VLOOKUP(E31,日报!E:G,3,0),"")</f>
        <v/>
      </c>
      <c r="J31" s="38" t="str">
        <f t="shared" si="0"/>
        <v/>
      </c>
      <c r="K31" s="70"/>
    </row>
    <row r="32" customHeight="1" spans="1:11">
      <c r="A32" s="51"/>
      <c r="B32" s="36"/>
      <c r="C32" s="36"/>
      <c r="D32" s="31"/>
      <c r="E32" s="31"/>
      <c r="F32" s="71" t="str">
        <f>IFERROR(VLOOKUP(E32,日报!E:F,2,0),"")</f>
        <v/>
      </c>
      <c r="G32" s="31"/>
      <c r="H32" s="72" t="str">
        <f>IFERROR(VLOOKUP(E32,日报!E:H,4,0),"")</f>
        <v/>
      </c>
      <c r="I32" s="37" t="str">
        <f>IFERROR(VLOOKUP(E32,日报!E:G,3,0),"")</f>
        <v/>
      </c>
      <c r="J32" s="38" t="str">
        <f t="shared" si="0"/>
        <v/>
      </c>
      <c r="K32" s="70"/>
    </row>
    <row r="33" customHeight="1" spans="1:11">
      <c r="A33" s="51"/>
      <c r="B33" s="36"/>
      <c r="C33" s="36"/>
      <c r="D33" s="31"/>
      <c r="E33" s="31"/>
      <c r="F33" s="71" t="str">
        <f>IFERROR(VLOOKUP(E33,日报!E:F,2,0),"")</f>
        <v/>
      </c>
      <c r="G33" s="31"/>
      <c r="H33" s="72" t="str">
        <f>IFERROR(VLOOKUP(E33,日报!E:H,4,0),"")</f>
        <v/>
      </c>
      <c r="I33" s="37" t="str">
        <f>IFERROR(VLOOKUP(E33,日报!E:G,3,0),"")</f>
        <v/>
      </c>
      <c r="J33" s="38" t="str">
        <f t="shared" si="0"/>
        <v/>
      </c>
      <c r="K33" s="70"/>
    </row>
    <row r="34" customHeight="1" spans="1:11">
      <c r="A34" s="51"/>
      <c r="B34" s="36"/>
      <c r="C34" s="36"/>
      <c r="D34" s="31"/>
      <c r="E34" s="31"/>
      <c r="F34" s="71" t="str">
        <f>IFERROR(VLOOKUP(E34,日报!E:F,2,0),"")</f>
        <v/>
      </c>
      <c r="G34" s="31"/>
      <c r="H34" s="72" t="str">
        <f>IFERROR(VLOOKUP(E34,日报!E:H,4,0),"")</f>
        <v/>
      </c>
      <c r="I34" s="37" t="str">
        <f>IFERROR(VLOOKUP(E34,日报!E:G,3,0),"")</f>
        <v/>
      </c>
      <c r="J34" s="38" t="str">
        <f t="shared" si="0"/>
        <v/>
      </c>
      <c r="K34" s="70"/>
    </row>
    <row r="35" customHeight="1" spans="1:11">
      <c r="A35" s="51"/>
      <c r="B35" s="36"/>
      <c r="C35" s="36"/>
      <c r="D35" s="31"/>
      <c r="E35" s="31"/>
      <c r="F35" s="71" t="str">
        <f>IFERROR(VLOOKUP(E35,日报!E:F,2,0),"")</f>
        <v/>
      </c>
      <c r="G35" s="31"/>
      <c r="H35" s="72" t="str">
        <f>IFERROR(VLOOKUP(E35,日报!E:H,4,0),"")</f>
        <v/>
      </c>
      <c r="I35" s="37" t="str">
        <f>IFERROR(VLOOKUP(E35,日报!E:G,3,0),"")</f>
        <v/>
      </c>
      <c r="J35" s="38" t="str">
        <f t="shared" si="0"/>
        <v/>
      </c>
      <c r="K35" s="70"/>
    </row>
    <row r="36" customHeight="1" spans="1:11">
      <c r="A36" s="51"/>
      <c r="B36" s="36"/>
      <c r="C36" s="36"/>
      <c r="D36" s="31"/>
      <c r="E36" s="31"/>
      <c r="F36" s="71" t="str">
        <f>IFERROR(VLOOKUP(E36,日报!E:F,2,0),"")</f>
        <v/>
      </c>
      <c r="G36" s="31"/>
      <c r="H36" s="72" t="str">
        <f>IFERROR(VLOOKUP(E36,日报!E:H,4,0),"")</f>
        <v/>
      </c>
      <c r="I36" s="37" t="str">
        <f>IFERROR(VLOOKUP(E36,日报!E:G,3,0),"")</f>
        <v/>
      </c>
      <c r="J36" s="38" t="str">
        <f t="shared" si="0"/>
        <v/>
      </c>
      <c r="K36" s="70"/>
    </row>
    <row r="37" customHeight="1" spans="1:11">
      <c r="A37" s="51"/>
      <c r="B37" s="36"/>
      <c r="C37" s="36"/>
      <c r="D37" s="31"/>
      <c r="E37" s="31"/>
      <c r="F37" s="71" t="str">
        <f>IFERROR(VLOOKUP(E37,日报!E:F,2,0),"")</f>
        <v/>
      </c>
      <c r="G37" s="31"/>
      <c r="H37" s="72" t="str">
        <f>IFERROR(VLOOKUP(E37,日报!E:H,4,0),"")</f>
        <v/>
      </c>
      <c r="I37" s="37" t="str">
        <f>IFERROR(VLOOKUP(E37,日报!E:G,3,0),"")</f>
        <v/>
      </c>
      <c r="J37" s="38" t="str">
        <f t="shared" si="0"/>
        <v/>
      </c>
      <c r="K37" s="70"/>
    </row>
    <row r="38" customHeight="1" spans="1:11">
      <c r="A38" s="51"/>
      <c r="B38" s="36"/>
      <c r="C38" s="36"/>
      <c r="D38" s="31"/>
      <c r="E38" s="31"/>
      <c r="F38" s="71" t="str">
        <f>IFERROR(VLOOKUP(E38,日报!E:F,2,0),"")</f>
        <v/>
      </c>
      <c r="G38" s="31"/>
      <c r="H38" s="72" t="str">
        <f>IFERROR(VLOOKUP(E38,日报!E:H,4,0),"")</f>
        <v/>
      </c>
      <c r="I38" s="37" t="str">
        <f>IFERROR(VLOOKUP(E38,日报!E:G,3,0),"")</f>
        <v/>
      </c>
      <c r="J38" s="38" t="str">
        <f t="shared" si="0"/>
        <v/>
      </c>
      <c r="K38" s="70"/>
    </row>
    <row r="39" customHeight="1" spans="1:11">
      <c r="A39" s="51"/>
      <c r="B39" s="36"/>
      <c r="C39" s="36"/>
      <c r="D39" s="31"/>
      <c r="E39" s="31"/>
      <c r="F39" s="71" t="str">
        <f>IFERROR(VLOOKUP(E39,日报!E:F,2,0),"")</f>
        <v/>
      </c>
      <c r="G39" s="31"/>
      <c r="H39" s="72" t="str">
        <f>IFERROR(VLOOKUP(E39,日报!E:H,4,0),"")</f>
        <v/>
      </c>
      <c r="I39" s="37" t="str">
        <f>IFERROR(VLOOKUP(E39,日报!E:G,3,0),"")</f>
        <v/>
      </c>
      <c r="J39" s="38" t="str">
        <f t="shared" si="0"/>
        <v/>
      </c>
      <c r="K39" s="70"/>
    </row>
    <row r="40" customHeight="1" spans="1:11">
      <c r="A40" s="51"/>
      <c r="B40" s="36"/>
      <c r="C40" s="36"/>
      <c r="D40" s="51"/>
      <c r="E40" s="31"/>
      <c r="F40" s="71" t="str">
        <f>IFERROR(VLOOKUP(E40,日报!E:F,2,0),"")</f>
        <v/>
      </c>
      <c r="G40" s="31"/>
      <c r="H40" s="72" t="str">
        <f>IFERROR(VLOOKUP(E40,日报!E:H,4,0),"")</f>
        <v/>
      </c>
      <c r="I40" s="37" t="str">
        <f>IFERROR(VLOOKUP(E40,日报!E:G,3,0),"")</f>
        <v/>
      </c>
      <c r="J40" s="38" t="str">
        <f t="shared" si="0"/>
        <v/>
      </c>
      <c r="K40" s="70"/>
    </row>
    <row r="41" customHeight="1" spans="1:11">
      <c r="A41" s="51"/>
      <c r="B41" s="36"/>
      <c r="C41" s="36"/>
      <c r="D41" s="51"/>
      <c r="E41" s="31"/>
      <c r="F41" s="71" t="str">
        <f>IFERROR(VLOOKUP(E41,日报!E:F,2,0),"")</f>
        <v/>
      </c>
      <c r="G41" s="31"/>
      <c r="H41" s="72" t="str">
        <f>IFERROR(VLOOKUP(E41,日报!E:H,4,0),"")</f>
        <v/>
      </c>
      <c r="I41" s="37" t="str">
        <f>IFERROR(VLOOKUP(E41,日报!E:G,3,0),"")</f>
        <v/>
      </c>
      <c r="J41" s="38" t="str">
        <f t="shared" si="0"/>
        <v/>
      </c>
      <c r="K41" s="70"/>
    </row>
    <row r="42" customHeight="1" spans="1:11">
      <c r="A42" s="51"/>
      <c r="B42" s="36"/>
      <c r="C42" s="36"/>
      <c r="D42" s="31"/>
      <c r="E42" s="31"/>
      <c r="F42" s="71" t="str">
        <f>IFERROR(VLOOKUP(E42,日报!E:F,2,0),"")</f>
        <v/>
      </c>
      <c r="G42" s="31"/>
      <c r="H42" s="72" t="str">
        <f>IFERROR(VLOOKUP(E42,日报!E:H,4,0),"")</f>
        <v/>
      </c>
      <c r="I42" s="37" t="str">
        <f>IFERROR(VLOOKUP(E42,日报!E:G,3,0),"")</f>
        <v/>
      </c>
      <c r="J42" s="38" t="str">
        <f t="shared" si="0"/>
        <v/>
      </c>
      <c r="K42" s="70"/>
    </row>
    <row r="43" customHeight="1" spans="1:11">
      <c r="A43" s="51"/>
      <c r="B43" s="36"/>
      <c r="C43" s="36"/>
      <c r="D43" s="31"/>
      <c r="E43" s="31"/>
      <c r="F43" s="71" t="str">
        <f>IFERROR(VLOOKUP(E43,日报!E:F,2,0),"")</f>
        <v/>
      </c>
      <c r="G43" s="31"/>
      <c r="H43" s="72" t="str">
        <f>IFERROR(VLOOKUP(E43,日报!E:H,4,0),"")</f>
        <v/>
      </c>
      <c r="I43" s="37" t="str">
        <f>IFERROR(VLOOKUP(E43,日报!E:G,3,0),"")</f>
        <v/>
      </c>
      <c r="J43" s="38" t="str">
        <f t="shared" si="0"/>
        <v/>
      </c>
      <c r="K43" s="70"/>
    </row>
    <row r="44" customHeight="1" spans="1:11">
      <c r="A44" s="51"/>
      <c r="B44" s="36"/>
      <c r="C44" s="36"/>
      <c r="D44" s="31"/>
      <c r="E44" s="31"/>
      <c r="F44" s="71" t="str">
        <f>IFERROR(VLOOKUP(E44,日报!E:F,2,0),"")</f>
        <v/>
      </c>
      <c r="G44" s="31"/>
      <c r="H44" s="72" t="str">
        <f>IFERROR(VLOOKUP(E44,日报!E:H,4,0),"")</f>
        <v/>
      </c>
      <c r="I44" s="37" t="str">
        <f>IFERROR(VLOOKUP(E44,日报!E:G,3,0),"")</f>
        <v/>
      </c>
      <c r="J44" s="38" t="str">
        <f t="shared" si="0"/>
        <v/>
      </c>
      <c r="K44" s="70"/>
    </row>
    <row r="45" customHeight="1" spans="1:11">
      <c r="A45" s="51"/>
      <c r="B45" s="36"/>
      <c r="C45" s="36"/>
      <c r="D45" s="31"/>
      <c r="E45" s="31"/>
      <c r="F45" s="71" t="str">
        <f>IFERROR(VLOOKUP(E45,日报!E:F,2,0),"")</f>
        <v/>
      </c>
      <c r="G45" s="31"/>
      <c r="H45" s="72" t="str">
        <f>IFERROR(VLOOKUP(E45,日报!E:H,4,0),"")</f>
        <v/>
      </c>
      <c r="I45" s="37" t="str">
        <f>IFERROR(VLOOKUP(E45,日报!E:G,3,0),"")</f>
        <v/>
      </c>
      <c r="J45" s="38" t="str">
        <f t="shared" si="0"/>
        <v/>
      </c>
      <c r="K45" s="70"/>
    </row>
    <row r="46" customHeight="1" spans="1:11">
      <c r="A46" s="51"/>
      <c r="B46" s="36"/>
      <c r="C46" s="36"/>
      <c r="D46" s="31"/>
      <c r="E46" s="31"/>
      <c r="F46" s="71" t="str">
        <f>IFERROR(VLOOKUP(E46,日报!E:F,2,0),"")</f>
        <v/>
      </c>
      <c r="G46" s="31"/>
      <c r="H46" s="72" t="str">
        <f>IFERROR(VLOOKUP(E46,日报!E:H,4,0),"")</f>
        <v/>
      </c>
      <c r="I46" s="37" t="str">
        <f>IFERROR(VLOOKUP(E46,日报!E:G,3,0),"")</f>
        <v/>
      </c>
      <c r="J46" s="38" t="str">
        <f t="shared" si="0"/>
        <v/>
      </c>
      <c r="K46" s="70"/>
    </row>
    <row r="47" customHeight="1" spans="1:11">
      <c r="A47" s="51"/>
      <c r="B47" s="36"/>
      <c r="C47" s="36"/>
      <c r="D47" s="31"/>
      <c r="E47" s="31"/>
      <c r="F47" s="71" t="str">
        <f>IFERROR(VLOOKUP(E47,日报!E:F,2,0),"")</f>
        <v/>
      </c>
      <c r="G47" s="31"/>
      <c r="H47" s="72" t="str">
        <f>IFERROR(VLOOKUP(E47,日报!E:H,4,0),"")</f>
        <v/>
      </c>
      <c r="I47" s="37" t="str">
        <f>IFERROR(VLOOKUP(E47,日报!E:G,3,0),"")</f>
        <v/>
      </c>
      <c r="J47" s="38" t="str">
        <f t="shared" si="0"/>
        <v/>
      </c>
      <c r="K47" s="70"/>
    </row>
    <row r="48" customHeight="1" spans="1:11">
      <c r="A48" s="51"/>
      <c r="B48" s="36"/>
      <c r="C48" s="36"/>
      <c r="D48" s="31"/>
      <c r="E48" s="31"/>
      <c r="F48" s="71" t="str">
        <f>IFERROR(VLOOKUP(E48,日报!E:F,2,0),"")</f>
        <v/>
      </c>
      <c r="G48" s="31"/>
      <c r="H48" s="72" t="str">
        <f>IFERROR(VLOOKUP(E48,日报!E:H,4,0),"")</f>
        <v/>
      </c>
      <c r="I48" s="37" t="str">
        <f>IFERROR(VLOOKUP(E48,日报!E:G,3,0),"")</f>
        <v/>
      </c>
      <c r="J48" s="38" t="str">
        <f t="shared" si="0"/>
        <v/>
      </c>
      <c r="K48" s="70"/>
    </row>
    <row r="49" customHeight="1" spans="1:11">
      <c r="A49" s="51"/>
      <c r="B49" s="36"/>
      <c r="C49" s="36"/>
      <c r="D49" s="31"/>
      <c r="E49" s="31"/>
      <c r="F49" s="71" t="str">
        <f>IFERROR(VLOOKUP(E49,日报!E:F,2,0),"")</f>
        <v/>
      </c>
      <c r="G49" s="31"/>
      <c r="H49" s="72" t="str">
        <f>IFERROR(VLOOKUP(E49,日报!E:H,4,0),"")</f>
        <v/>
      </c>
      <c r="I49" s="37" t="str">
        <f>IFERROR(VLOOKUP(E49,日报!E:G,3,0),"")</f>
        <v/>
      </c>
      <c r="J49" s="38" t="str">
        <f t="shared" si="0"/>
        <v/>
      </c>
      <c r="K49" s="70"/>
    </row>
    <row r="50" customHeight="1" spans="1:11">
      <c r="A50" s="51"/>
      <c r="B50" s="36"/>
      <c r="C50" s="36"/>
      <c r="D50" s="31"/>
      <c r="E50" s="31"/>
      <c r="F50" s="71" t="str">
        <f>IFERROR(VLOOKUP(E50,日报!E:F,2,0),"")</f>
        <v/>
      </c>
      <c r="G50" s="31"/>
      <c r="H50" s="72" t="str">
        <f>IFERROR(VLOOKUP(E50,日报!E:H,4,0),"")</f>
        <v/>
      </c>
      <c r="I50" s="37" t="str">
        <f>IFERROR(VLOOKUP(E50,日报!E:G,3,0),"")</f>
        <v/>
      </c>
      <c r="J50" s="38" t="str">
        <f t="shared" si="0"/>
        <v/>
      </c>
      <c r="K50" s="70"/>
    </row>
    <row r="51" customHeight="1" spans="1:11">
      <c r="A51" s="51"/>
      <c r="B51" s="36"/>
      <c r="C51" s="36"/>
      <c r="D51" s="31"/>
      <c r="E51" s="31"/>
      <c r="F51" s="71" t="str">
        <f>IFERROR(VLOOKUP(E51,日报!E:F,2,0),"")</f>
        <v/>
      </c>
      <c r="G51" s="31"/>
      <c r="H51" s="72" t="str">
        <f>IFERROR(VLOOKUP(E51,日报!E:H,4,0),"")</f>
        <v/>
      </c>
      <c r="I51" s="37" t="str">
        <f>IFERROR(VLOOKUP(E51,日报!E:G,3,0),"")</f>
        <v/>
      </c>
      <c r="J51" s="38" t="str">
        <f t="shared" si="0"/>
        <v/>
      </c>
      <c r="K51" s="70"/>
    </row>
    <row r="52" customHeight="1" spans="1:11">
      <c r="A52" s="51"/>
      <c r="B52" s="36"/>
      <c r="C52" s="36"/>
      <c r="D52" s="31"/>
      <c r="E52" s="31"/>
      <c r="F52" s="71" t="str">
        <f>IFERROR(VLOOKUP(E52,日报!E:F,2,0),"")</f>
        <v/>
      </c>
      <c r="G52" s="31"/>
      <c r="H52" s="72" t="str">
        <f>IFERROR(VLOOKUP(E52,日报!E:H,4,0),"")</f>
        <v/>
      </c>
      <c r="I52" s="37" t="str">
        <f>IFERROR(VLOOKUP(E52,日报!E:G,3,0),"")</f>
        <v/>
      </c>
      <c r="J52" s="38" t="str">
        <f t="shared" si="0"/>
        <v/>
      </c>
      <c r="K52" s="70"/>
    </row>
    <row r="53" customHeight="1" spans="1:11">
      <c r="A53" s="51"/>
      <c r="B53" s="31"/>
      <c r="C53" s="31"/>
      <c r="D53" s="31"/>
      <c r="E53" s="31"/>
      <c r="F53" s="71" t="str">
        <f>IFERROR(VLOOKUP(E53,日报!E:F,2,0),"")</f>
        <v/>
      </c>
      <c r="G53" s="31"/>
      <c r="H53" s="72" t="str">
        <f>IFERROR(VLOOKUP(E53,日报!E:H,4,0),"")</f>
        <v/>
      </c>
      <c r="I53" s="37" t="str">
        <f>IFERROR(VLOOKUP(E53,日报!E:G,3,0),"")</f>
        <v/>
      </c>
      <c r="J53" s="38" t="str">
        <f t="shared" si="0"/>
        <v/>
      </c>
      <c r="K53" s="70"/>
    </row>
    <row r="54" customHeight="1" spans="1:11">
      <c r="A54" s="51"/>
      <c r="B54" s="31"/>
      <c r="C54" s="31"/>
      <c r="D54" s="31"/>
      <c r="E54" s="31"/>
      <c r="F54" s="71" t="str">
        <f>IFERROR(VLOOKUP(E54,日报!E:F,2,0),"")</f>
        <v/>
      </c>
      <c r="G54" s="31"/>
      <c r="H54" s="72" t="str">
        <f>IFERROR(VLOOKUP(E54,日报!E:H,4,0),"")</f>
        <v/>
      </c>
      <c r="I54" s="37" t="str">
        <f>IFERROR(VLOOKUP(E54,日报!E:G,3,0),"")</f>
        <v/>
      </c>
      <c r="J54" s="38" t="str">
        <f t="shared" si="0"/>
        <v/>
      </c>
      <c r="K54" s="70"/>
    </row>
    <row r="55" customHeight="1" spans="1:11">
      <c r="A55" s="51"/>
      <c r="B55" s="31"/>
      <c r="C55" s="31"/>
      <c r="D55" s="31"/>
      <c r="E55" s="31"/>
      <c r="F55" s="71" t="str">
        <f>IFERROR(VLOOKUP(E55,日报!E:F,2,0),"")</f>
        <v/>
      </c>
      <c r="G55" s="31"/>
      <c r="H55" s="72" t="str">
        <f>IFERROR(VLOOKUP(E55,日报!E:H,4,0),"")</f>
        <v/>
      </c>
      <c r="I55" s="37" t="str">
        <f>IFERROR(VLOOKUP(E55,日报!E:G,3,0),"")</f>
        <v/>
      </c>
      <c r="J55" s="38" t="str">
        <f t="shared" si="0"/>
        <v/>
      </c>
      <c r="K55" s="70"/>
    </row>
    <row r="56" customHeight="1" spans="1:11">
      <c r="A56" s="51"/>
      <c r="B56" s="31"/>
      <c r="C56" s="31"/>
      <c r="D56" s="31"/>
      <c r="E56" s="31"/>
      <c r="F56" s="71" t="str">
        <f>IFERROR(VLOOKUP(E56,日报!E:F,2,0),"")</f>
        <v/>
      </c>
      <c r="G56" s="31"/>
      <c r="H56" s="72" t="str">
        <f>IFERROR(VLOOKUP(E56,日报!E:H,4,0),"")</f>
        <v/>
      </c>
      <c r="I56" s="37" t="str">
        <f>IFERROR(VLOOKUP(E56,日报!E:G,3,0),"")</f>
        <v/>
      </c>
      <c r="J56" s="38" t="str">
        <f t="shared" si="0"/>
        <v/>
      </c>
      <c r="K56" s="70"/>
    </row>
    <row r="57" customHeight="1" spans="1:11">
      <c r="A57" s="51"/>
      <c r="B57" s="31"/>
      <c r="C57" s="31"/>
      <c r="D57" s="31"/>
      <c r="E57" s="31"/>
      <c r="F57" s="71" t="str">
        <f>IFERROR(VLOOKUP(E57,日报!E:F,2,0),"")</f>
        <v/>
      </c>
      <c r="G57" s="31"/>
      <c r="H57" s="72" t="str">
        <f>IFERROR(VLOOKUP(E57,日报!E:H,4,0),"")</f>
        <v/>
      </c>
      <c r="I57" s="37" t="str">
        <f>IFERROR(VLOOKUP(E57,日报!E:G,3,0),"")</f>
        <v/>
      </c>
      <c r="J57" s="38" t="str">
        <f t="shared" si="0"/>
        <v/>
      </c>
      <c r="K57" s="70"/>
    </row>
    <row r="58" customHeight="1" spans="1:11">
      <c r="A58" s="51"/>
      <c r="B58" s="31"/>
      <c r="C58" s="31"/>
      <c r="D58" s="31"/>
      <c r="E58" s="31"/>
      <c r="F58" s="71" t="str">
        <f>IFERROR(VLOOKUP(E58,日报!E:F,2,0),"")</f>
        <v/>
      </c>
      <c r="G58" s="31"/>
      <c r="H58" s="72" t="str">
        <f>IFERROR(VLOOKUP(E58,日报!E:H,4,0),"")</f>
        <v/>
      </c>
      <c r="I58" s="37" t="str">
        <f>IFERROR(VLOOKUP(E58,日报!E:G,3,0),"")</f>
        <v/>
      </c>
      <c r="J58" s="38" t="str">
        <f t="shared" si="0"/>
        <v/>
      </c>
      <c r="K58" s="70"/>
    </row>
    <row r="59" customHeight="1" spans="1:11">
      <c r="A59" s="51"/>
      <c r="B59" s="31"/>
      <c r="C59" s="31"/>
      <c r="D59" s="31"/>
      <c r="E59" s="31"/>
      <c r="F59" s="71" t="str">
        <f>IFERROR(VLOOKUP(E59,日报!E:F,2,0),"")</f>
        <v/>
      </c>
      <c r="G59" s="31"/>
      <c r="H59" s="72" t="str">
        <f>IFERROR(VLOOKUP(E59,日报!E:H,4,0),"")</f>
        <v/>
      </c>
      <c r="I59" s="37" t="str">
        <f>IFERROR(VLOOKUP(E59,日报!E:G,3,0),"")</f>
        <v/>
      </c>
      <c r="J59" s="38" t="str">
        <f t="shared" si="0"/>
        <v/>
      </c>
      <c r="K59" s="70"/>
    </row>
    <row r="60" customHeight="1" spans="1:11">
      <c r="A60" s="51"/>
      <c r="B60" s="31"/>
      <c r="C60" s="31"/>
      <c r="D60" s="31"/>
      <c r="E60" s="31"/>
      <c r="F60" s="71" t="str">
        <f>IFERROR(VLOOKUP(E60,日报!E:F,2,0),"")</f>
        <v/>
      </c>
      <c r="G60" s="31"/>
      <c r="H60" s="72" t="str">
        <f>IFERROR(VLOOKUP(E60,日报!E:H,4,0),"")</f>
        <v/>
      </c>
      <c r="I60" s="37" t="str">
        <f>IFERROR(VLOOKUP(E60,日报!E:G,3,0),"")</f>
        <v/>
      </c>
      <c r="J60" s="38" t="str">
        <f t="shared" si="0"/>
        <v/>
      </c>
      <c r="K60" s="70"/>
    </row>
    <row r="61" customHeight="1" spans="1:11">
      <c r="A61" s="51"/>
      <c r="B61" s="31"/>
      <c r="C61" s="31"/>
      <c r="D61" s="31"/>
      <c r="E61" s="31"/>
      <c r="F61" s="71" t="str">
        <f>IFERROR(VLOOKUP(E61,日报!E:F,2,0),"")</f>
        <v/>
      </c>
      <c r="G61" s="31"/>
      <c r="H61" s="72" t="str">
        <f>IFERROR(VLOOKUP(E61,日报!E:H,4,0),"")</f>
        <v/>
      </c>
      <c r="I61" s="37" t="str">
        <f>IFERROR(VLOOKUP(E61,日报!E:G,3,0),"")</f>
        <v/>
      </c>
      <c r="J61" s="38" t="str">
        <f t="shared" si="0"/>
        <v/>
      </c>
      <c r="K61" s="70"/>
    </row>
    <row r="62" customHeight="1" spans="1:11">
      <c r="A62" s="51"/>
      <c r="B62" s="31"/>
      <c r="C62" s="31"/>
      <c r="D62" s="31"/>
      <c r="E62" s="31"/>
      <c r="F62" s="71" t="str">
        <f>IFERROR(VLOOKUP(E62,日报!E:F,2,0),"")</f>
        <v/>
      </c>
      <c r="G62" s="31"/>
      <c r="H62" s="72" t="str">
        <f>IFERROR(VLOOKUP(E62,日报!E:H,4,0),"")</f>
        <v/>
      </c>
      <c r="I62" s="37" t="str">
        <f>IFERROR(VLOOKUP(E62,日报!E:G,3,0),"")</f>
        <v/>
      </c>
      <c r="J62" s="38" t="str">
        <f t="shared" si="0"/>
        <v/>
      </c>
      <c r="K62" s="70"/>
    </row>
    <row r="63" customHeight="1" spans="1:11">
      <c r="A63" s="51"/>
      <c r="B63" s="31"/>
      <c r="C63" s="31"/>
      <c r="D63" s="31"/>
      <c r="E63" s="31"/>
      <c r="F63" s="71" t="str">
        <f>IFERROR(VLOOKUP(E63,日报!E:F,2,0),"")</f>
        <v/>
      </c>
      <c r="G63" s="31"/>
      <c r="H63" s="72" t="str">
        <f>IFERROR(VLOOKUP(E63,日报!E:H,4,0),"")</f>
        <v/>
      </c>
      <c r="I63" s="37" t="str">
        <f>IFERROR(VLOOKUP(E63,日报!E:G,3,0),"")</f>
        <v/>
      </c>
      <c r="J63" s="38" t="str">
        <f t="shared" si="0"/>
        <v/>
      </c>
      <c r="K63" s="70"/>
    </row>
    <row r="64" customHeight="1" spans="1:11">
      <c r="A64" s="51"/>
      <c r="B64" s="31"/>
      <c r="C64" s="31"/>
      <c r="D64" s="31"/>
      <c r="E64" s="31"/>
      <c r="F64" s="71" t="str">
        <f>IFERROR(VLOOKUP(E64,日报!E:F,2,0),"")</f>
        <v/>
      </c>
      <c r="G64" s="31"/>
      <c r="H64" s="72" t="str">
        <f>IFERROR(VLOOKUP(E64,日报!E:H,4,0),"")</f>
        <v/>
      </c>
      <c r="I64" s="37" t="str">
        <f>IFERROR(VLOOKUP(E64,日报!E:G,3,0),"")</f>
        <v/>
      </c>
      <c r="J64" s="38" t="str">
        <f t="shared" si="0"/>
        <v/>
      </c>
      <c r="K64" s="70"/>
    </row>
    <row r="65" customHeight="1" spans="1:11">
      <c r="A65" s="51"/>
      <c r="B65" s="31"/>
      <c r="C65" s="31"/>
      <c r="D65" s="31"/>
      <c r="E65" s="31"/>
      <c r="F65" s="71" t="str">
        <f>IFERROR(VLOOKUP(E65,日报!E:F,2,0),"")</f>
        <v/>
      </c>
      <c r="G65" s="31"/>
      <c r="H65" s="72" t="str">
        <f>IFERROR(VLOOKUP(E65,日报!E:H,4,0),"")</f>
        <v/>
      </c>
      <c r="I65" s="37" t="str">
        <f>IFERROR(VLOOKUP(E65,日报!E:G,3,0),"")</f>
        <v/>
      </c>
      <c r="J65" s="38" t="str">
        <f t="shared" si="0"/>
        <v/>
      </c>
      <c r="K65" s="70"/>
    </row>
    <row r="66" customHeight="1" spans="1:11">
      <c r="A66" s="51"/>
      <c r="B66" s="31"/>
      <c r="C66" s="31"/>
      <c r="D66" s="31"/>
      <c r="E66" s="31"/>
      <c r="F66" s="71" t="str">
        <f>IFERROR(VLOOKUP(E66,日报!E:F,2,0),"")</f>
        <v/>
      </c>
      <c r="G66" s="31"/>
      <c r="H66" s="72" t="str">
        <f>IFERROR(VLOOKUP(E66,日报!E:H,4,0),"")</f>
        <v/>
      </c>
      <c r="I66" s="37" t="str">
        <f>IFERROR(VLOOKUP(E66,日报!E:G,3,0),"")</f>
        <v/>
      </c>
      <c r="J66" s="38" t="str">
        <f t="shared" si="0"/>
        <v/>
      </c>
      <c r="K66" s="70"/>
    </row>
    <row r="67" customHeight="1" spans="1:11">
      <c r="A67" s="51"/>
      <c r="B67" s="31"/>
      <c r="C67" s="31"/>
      <c r="D67" s="31"/>
      <c r="E67" s="31"/>
      <c r="F67" s="71" t="str">
        <f>IFERROR(VLOOKUP(E67,日报!E:F,2,0),"")</f>
        <v/>
      </c>
      <c r="G67" s="31"/>
      <c r="H67" s="72" t="str">
        <f>IFERROR(VLOOKUP(E67,日报!E:H,4,0),"")</f>
        <v/>
      </c>
      <c r="I67" s="37" t="str">
        <f>IFERROR(VLOOKUP(E67,日报!E:G,3,0),"")</f>
        <v/>
      </c>
      <c r="J67" s="38" t="str">
        <f t="shared" si="0"/>
        <v/>
      </c>
      <c r="K67" s="70"/>
    </row>
    <row r="68" customHeight="1" spans="1:11">
      <c r="A68" s="51"/>
      <c r="B68" s="31"/>
      <c r="C68" s="31"/>
      <c r="D68" s="31"/>
      <c r="E68" s="31"/>
      <c r="F68" s="71" t="str">
        <f>IFERROR(VLOOKUP(E68,日报!E:F,2,0),"")</f>
        <v/>
      </c>
      <c r="G68" s="31"/>
      <c r="H68" s="72" t="str">
        <f>IFERROR(VLOOKUP(E68,日报!E:H,4,0),"")</f>
        <v/>
      </c>
      <c r="I68" s="37" t="str">
        <f>IFERROR(VLOOKUP(E68,日报!E:G,3,0),"")</f>
        <v/>
      </c>
      <c r="J68" s="38" t="str">
        <f t="shared" ref="J68:J131" si="1">IFERROR(G68/I68,"")</f>
        <v/>
      </c>
      <c r="K68" s="70"/>
    </row>
    <row r="69" customHeight="1" spans="1:11">
      <c r="A69" s="51"/>
      <c r="B69" s="31"/>
      <c r="C69" s="31"/>
      <c r="D69" s="31"/>
      <c r="E69" s="31"/>
      <c r="F69" s="71" t="str">
        <f>IFERROR(VLOOKUP(E69,日报!E:F,2,0),"")</f>
        <v/>
      </c>
      <c r="G69" s="31"/>
      <c r="H69" s="72" t="str">
        <f>IFERROR(VLOOKUP(E69,日报!E:H,4,0),"")</f>
        <v/>
      </c>
      <c r="I69" s="37" t="str">
        <f>IFERROR(VLOOKUP(E69,日报!E:G,3,0),"")</f>
        <v/>
      </c>
      <c r="J69" s="38" t="str">
        <f t="shared" si="1"/>
        <v/>
      </c>
      <c r="K69" s="70"/>
    </row>
    <row r="70" customHeight="1" spans="1:11">
      <c r="A70" s="51"/>
      <c r="B70" s="31"/>
      <c r="C70" s="31"/>
      <c r="D70" s="31"/>
      <c r="E70" s="31"/>
      <c r="F70" s="71" t="str">
        <f>IFERROR(VLOOKUP(E70,日报!E:F,2,0),"")</f>
        <v/>
      </c>
      <c r="G70" s="31"/>
      <c r="H70" s="72" t="str">
        <f>IFERROR(VLOOKUP(E70,日报!E:H,4,0),"")</f>
        <v/>
      </c>
      <c r="I70" s="37" t="str">
        <f>IFERROR(VLOOKUP(E70,日报!E:G,3,0),"")</f>
        <v/>
      </c>
      <c r="J70" s="38" t="str">
        <f t="shared" si="1"/>
        <v/>
      </c>
      <c r="K70" s="70"/>
    </row>
    <row r="71" customHeight="1" spans="1:11">
      <c r="A71" s="51"/>
      <c r="B71" s="31"/>
      <c r="C71" s="31"/>
      <c r="D71" s="31"/>
      <c r="E71" s="31"/>
      <c r="F71" s="71" t="str">
        <f>IFERROR(VLOOKUP(E71,日报!E:F,2,0),"")</f>
        <v/>
      </c>
      <c r="G71" s="31"/>
      <c r="H71" s="72" t="str">
        <f>IFERROR(VLOOKUP(E71,日报!E:H,4,0),"")</f>
        <v/>
      </c>
      <c r="I71" s="37" t="str">
        <f>IFERROR(VLOOKUP(E71,日报!E:G,3,0),"")</f>
        <v/>
      </c>
      <c r="J71" s="38" t="str">
        <f t="shared" si="1"/>
        <v/>
      </c>
      <c r="K71" s="70"/>
    </row>
    <row r="72" customHeight="1" spans="1:11">
      <c r="A72" s="51"/>
      <c r="B72" s="31"/>
      <c r="C72" s="31"/>
      <c r="D72" s="31"/>
      <c r="E72" s="31"/>
      <c r="F72" s="71" t="str">
        <f>IFERROR(VLOOKUP(E72,日报!E:F,2,0),"")</f>
        <v/>
      </c>
      <c r="G72" s="31"/>
      <c r="H72" s="72" t="str">
        <f>IFERROR(VLOOKUP(E72,日报!E:H,4,0),"")</f>
        <v/>
      </c>
      <c r="I72" s="37" t="str">
        <f>IFERROR(VLOOKUP(E72,日报!E:G,3,0),"")</f>
        <v/>
      </c>
      <c r="J72" s="38" t="str">
        <f t="shared" si="1"/>
        <v/>
      </c>
      <c r="K72" s="70"/>
    </row>
    <row r="73" customHeight="1" spans="1:11">
      <c r="A73" s="51"/>
      <c r="B73" s="31"/>
      <c r="C73" s="31"/>
      <c r="D73" s="31"/>
      <c r="E73" s="31"/>
      <c r="F73" s="71" t="str">
        <f>IFERROR(VLOOKUP(E73,日报!E:F,2,0),"")</f>
        <v/>
      </c>
      <c r="G73" s="31"/>
      <c r="H73" s="72" t="str">
        <f>IFERROR(VLOOKUP(E73,日报!E:H,4,0),"")</f>
        <v/>
      </c>
      <c r="I73" s="37" t="str">
        <f>IFERROR(VLOOKUP(E73,日报!E:G,3,0),"")</f>
        <v/>
      </c>
      <c r="J73" s="38" t="str">
        <f t="shared" si="1"/>
        <v/>
      </c>
      <c r="K73" s="70"/>
    </row>
    <row r="74" customHeight="1" spans="1:11">
      <c r="A74" s="51"/>
      <c r="B74" s="31"/>
      <c r="C74" s="31"/>
      <c r="D74" s="31"/>
      <c r="E74" s="31"/>
      <c r="F74" s="71" t="str">
        <f>IFERROR(VLOOKUP(E74,日报!E:F,2,0),"")</f>
        <v/>
      </c>
      <c r="G74" s="31"/>
      <c r="H74" s="72" t="str">
        <f>IFERROR(VLOOKUP(E74,日报!E:H,4,0),"")</f>
        <v/>
      </c>
      <c r="I74" s="37" t="str">
        <f>IFERROR(VLOOKUP(E74,日报!E:G,3,0),"")</f>
        <v/>
      </c>
      <c r="J74" s="38" t="str">
        <f t="shared" si="1"/>
        <v/>
      </c>
      <c r="K74" s="70"/>
    </row>
    <row r="75" customHeight="1" spans="1:11">
      <c r="A75" s="51"/>
      <c r="B75" s="31"/>
      <c r="C75" s="31"/>
      <c r="D75" s="31"/>
      <c r="E75" s="31"/>
      <c r="F75" s="71" t="str">
        <f>IFERROR(VLOOKUP(E75,日报!E:F,2,0),"")</f>
        <v/>
      </c>
      <c r="G75" s="31"/>
      <c r="H75" s="72" t="str">
        <f>IFERROR(VLOOKUP(E75,日报!E:H,4,0),"")</f>
        <v/>
      </c>
      <c r="I75" s="37" t="str">
        <f>IFERROR(VLOOKUP(E75,日报!E:G,3,0),"")</f>
        <v/>
      </c>
      <c r="J75" s="38" t="str">
        <f t="shared" si="1"/>
        <v/>
      </c>
      <c r="K75" s="70"/>
    </row>
    <row r="76" customHeight="1" spans="1:11">
      <c r="A76" s="51"/>
      <c r="B76" s="31"/>
      <c r="C76" s="31"/>
      <c r="D76" s="31"/>
      <c r="E76" s="31"/>
      <c r="F76" s="71" t="str">
        <f>IFERROR(VLOOKUP(E76,日报!E:F,2,0),"")</f>
        <v/>
      </c>
      <c r="G76" s="31"/>
      <c r="H76" s="72" t="str">
        <f>IFERROR(VLOOKUP(E76,日报!E:H,4,0),"")</f>
        <v/>
      </c>
      <c r="I76" s="37" t="str">
        <f>IFERROR(VLOOKUP(E76,日报!E:G,3,0),"")</f>
        <v/>
      </c>
      <c r="J76" s="38" t="str">
        <f t="shared" si="1"/>
        <v/>
      </c>
      <c r="K76" s="70"/>
    </row>
    <row r="77" customHeight="1" spans="1:11">
      <c r="A77" s="51"/>
      <c r="B77" s="31"/>
      <c r="C77" s="31"/>
      <c r="D77" s="31"/>
      <c r="E77" s="31"/>
      <c r="F77" s="71" t="str">
        <f>IFERROR(VLOOKUP(E77,日报!E:F,2,0),"")</f>
        <v/>
      </c>
      <c r="G77" s="31"/>
      <c r="H77" s="72" t="str">
        <f>IFERROR(VLOOKUP(E77,日报!E:H,4,0),"")</f>
        <v/>
      </c>
      <c r="I77" s="37" t="str">
        <f>IFERROR(VLOOKUP(E77,日报!E:G,3,0),"")</f>
        <v/>
      </c>
      <c r="J77" s="38" t="str">
        <f t="shared" si="1"/>
        <v/>
      </c>
      <c r="K77" s="70"/>
    </row>
    <row r="78" customHeight="1" spans="1:11">
      <c r="A78" s="51"/>
      <c r="B78" s="31"/>
      <c r="C78" s="31"/>
      <c r="D78" s="31"/>
      <c r="E78" s="31"/>
      <c r="F78" s="71" t="str">
        <f>IFERROR(VLOOKUP(E78,日报!E:F,2,0),"")</f>
        <v/>
      </c>
      <c r="G78" s="31"/>
      <c r="H78" s="72" t="str">
        <f>IFERROR(VLOOKUP(E78,日报!E:H,4,0),"")</f>
        <v/>
      </c>
      <c r="I78" s="37" t="str">
        <f>IFERROR(VLOOKUP(E78,日报!E:G,3,0),"")</f>
        <v/>
      </c>
      <c r="J78" s="38" t="str">
        <f t="shared" si="1"/>
        <v/>
      </c>
      <c r="K78" s="70"/>
    </row>
    <row r="79" customHeight="1" spans="1:11">
      <c r="A79" s="51"/>
      <c r="B79" s="31"/>
      <c r="C79" s="31"/>
      <c r="D79" s="31"/>
      <c r="E79" s="31"/>
      <c r="F79" s="71" t="str">
        <f>IFERROR(VLOOKUP(E79,日报!E:F,2,0),"")</f>
        <v/>
      </c>
      <c r="G79" s="31"/>
      <c r="H79" s="72" t="str">
        <f>IFERROR(VLOOKUP(E79,日报!E:H,4,0),"")</f>
        <v/>
      </c>
      <c r="I79" s="37" t="str">
        <f>IFERROR(VLOOKUP(E79,日报!E:G,3,0),"")</f>
        <v/>
      </c>
      <c r="J79" s="38" t="str">
        <f t="shared" si="1"/>
        <v/>
      </c>
      <c r="K79" s="70"/>
    </row>
    <row r="80" customHeight="1" spans="1:11">
      <c r="A80" s="51"/>
      <c r="B80" s="31"/>
      <c r="C80" s="31"/>
      <c r="D80" s="31"/>
      <c r="E80" s="31"/>
      <c r="F80" s="71" t="str">
        <f>IFERROR(VLOOKUP(E80,日报!E:F,2,0),"")</f>
        <v/>
      </c>
      <c r="G80" s="31"/>
      <c r="H80" s="72" t="str">
        <f>IFERROR(VLOOKUP(E80,日报!E:H,4,0),"")</f>
        <v/>
      </c>
      <c r="I80" s="37" t="str">
        <f>IFERROR(VLOOKUP(E80,日报!E:G,3,0),"")</f>
        <v/>
      </c>
      <c r="J80" s="38" t="str">
        <f t="shared" si="1"/>
        <v/>
      </c>
      <c r="K80" s="70"/>
    </row>
    <row r="81" customHeight="1" spans="1:11">
      <c r="A81" s="51"/>
      <c r="B81" s="31"/>
      <c r="C81" s="31"/>
      <c r="D81" s="31"/>
      <c r="E81" s="31"/>
      <c r="F81" s="71" t="str">
        <f>IFERROR(VLOOKUP(E81,日报!E:F,2,0),"")</f>
        <v/>
      </c>
      <c r="G81" s="31"/>
      <c r="H81" s="72" t="str">
        <f>IFERROR(VLOOKUP(E81,日报!E:H,4,0),"")</f>
        <v/>
      </c>
      <c r="I81" s="37" t="str">
        <f>IFERROR(VLOOKUP(E81,日报!E:G,3,0),"")</f>
        <v/>
      </c>
      <c r="J81" s="38" t="str">
        <f t="shared" si="1"/>
        <v/>
      </c>
      <c r="K81" s="70"/>
    </row>
    <row r="82" customHeight="1" spans="1:11">
      <c r="A82" s="51"/>
      <c r="B82" s="31"/>
      <c r="C82" s="31"/>
      <c r="D82" s="31"/>
      <c r="E82" s="31"/>
      <c r="F82" s="71" t="str">
        <f>IFERROR(VLOOKUP(E82,日报!E:F,2,0),"")</f>
        <v/>
      </c>
      <c r="G82" s="31"/>
      <c r="H82" s="72" t="str">
        <f>IFERROR(VLOOKUP(E82,日报!E:H,4,0),"")</f>
        <v/>
      </c>
      <c r="I82" s="37" t="str">
        <f>IFERROR(VLOOKUP(E82,日报!E:G,3,0),"")</f>
        <v/>
      </c>
      <c r="J82" s="38" t="str">
        <f t="shared" si="1"/>
        <v/>
      </c>
      <c r="K82" s="70"/>
    </row>
    <row r="83" customHeight="1" spans="1:11">
      <c r="A83" s="51"/>
      <c r="B83" s="31"/>
      <c r="C83" s="31"/>
      <c r="D83" s="31"/>
      <c r="E83" s="31"/>
      <c r="F83" s="71" t="str">
        <f>IFERROR(VLOOKUP(E83,日报!E:F,2,0),"")</f>
        <v/>
      </c>
      <c r="G83" s="31"/>
      <c r="H83" s="72" t="str">
        <f>IFERROR(VLOOKUP(E83,日报!E:H,4,0),"")</f>
        <v/>
      </c>
      <c r="I83" s="37" t="str">
        <f>IFERROR(VLOOKUP(E83,日报!E:G,3,0),"")</f>
        <v/>
      </c>
      <c r="J83" s="38" t="str">
        <f t="shared" si="1"/>
        <v/>
      </c>
      <c r="K83" s="70"/>
    </row>
    <row r="84" customHeight="1" spans="1:11">
      <c r="A84" s="51"/>
      <c r="B84" s="31"/>
      <c r="C84" s="31"/>
      <c r="D84" s="31"/>
      <c r="E84" s="31"/>
      <c r="F84" s="71" t="str">
        <f>IFERROR(VLOOKUP(E84,日报!E:F,2,0),"")</f>
        <v/>
      </c>
      <c r="G84" s="31"/>
      <c r="H84" s="72" t="str">
        <f>IFERROR(VLOOKUP(E84,日报!E:H,4,0),"")</f>
        <v/>
      </c>
      <c r="I84" s="37" t="str">
        <f>IFERROR(VLOOKUP(E84,日报!E:G,3,0),"")</f>
        <v/>
      </c>
      <c r="J84" s="38" t="str">
        <f t="shared" si="1"/>
        <v/>
      </c>
      <c r="K84" s="70"/>
    </row>
    <row r="85" customHeight="1" spans="1:11">
      <c r="A85" s="51"/>
      <c r="B85" s="31"/>
      <c r="C85" s="31"/>
      <c r="D85" s="31"/>
      <c r="E85" s="31"/>
      <c r="F85" s="71" t="str">
        <f>IFERROR(VLOOKUP(E85,日报!E:F,2,0),"")</f>
        <v/>
      </c>
      <c r="G85" s="31"/>
      <c r="H85" s="72" t="str">
        <f>IFERROR(VLOOKUP(E85,日报!E:H,4,0),"")</f>
        <v/>
      </c>
      <c r="I85" s="37" t="str">
        <f>IFERROR(VLOOKUP(E85,日报!E:G,3,0),"")</f>
        <v/>
      </c>
      <c r="J85" s="38" t="str">
        <f t="shared" si="1"/>
        <v/>
      </c>
      <c r="K85" s="70"/>
    </row>
    <row r="86" customHeight="1" spans="1:11">
      <c r="A86" s="51"/>
      <c r="B86" s="31"/>
      <c r="C86" s="31"/>
      <c r="D86" s="31"/>
      <c r="E86" s="31"/>
      <c r="F86" s="71" t="str">
        <f>IFERROR(VLOOKUP(E86,日报!E:F,2,0),"")</f>
        <v/>
      </c>
      <c r="G86" s="31"/>
      <c r="H86" s="72" t="str">
        <f>IFERROR(VLOOKUP(E86,日报!E:H,4,0),"")</f>
        <v/>
      </c>
      <c r="I86" s="37" t="str">
        <f>IFERROR(VLOOKUP(E86,日报!E:G,3,0),"")</f>
        <v/>
      </c>
      <c r="J86" s="38" t="str">
        <f t="shared" si="1"/>
        <v/>
      </c>
      <c r="K86" s="70"/>
    </row>
    <row r="87" customHeight="1" spans="1:11">
      <c r="A87" s="51"/>
      <c r="B87" s="31"/>
      <c r="C87" s="31"/>
      <c r="D87" s="31"/>
      <c r="E87" s="31"/>
      <c r="F87" s="71" t="str">
        <f>IFERROR(VLOOKUP(E87,日报!E:F,2,0),"")</f>
        <v/>
      </c>
      <c r="G87" s="31"/>
      <c r="H87" s="72" t="str">
        <f>IFERROR(VLOOKUP(E87,日报!E:H,4,0),"")</f>
        <v/>
      </c>
      <c r="I87" s="37" t="str">
        <f>IFERROR(VLOOKUP(E87,日报!E:G,3,0),"")</f>
        <v/>
      </c>
      <c r="J87" s="38" t="str">
        <f t="shared" si="1"/>
        <v/>
      </c>
      <c r="K87" s="70"/>
    </row>
    <row r="88" customHeight="1" spans="1:11">
      <c r="A88" s="51"/>
      <c r="B88" s="31"/>
      <c r="C88" s="31"/>
      <c r="D88" s="31"/>
      <c r="E88" s="31"/>
      <c r="F88" s="71" t="str">
        <f>IFERROR(VLOOKUP(E88,日报!E:F,2,0),"")</f>
        <v/>
      </c>
      <c r="G88" s="31"/>
      <c r="H88" s="72" t="str">
        <f>IFERROR(VLOOKUP(E88,日报!E:H,4,0),"")</f>
        <v/>
      </c>
      <c r="I88" s="37" t="str">
        <f>IFERROR(VLOOKUP(E88,日报!E:G,3,0),"")</f>
        <v/>
      </c>
      <c r="J88" s="38" t="str">
        <f t="shared" si="1"/>
        <v/>
      </c>
      <c r="K88" s="70"/>
    </row>
    <row r="89" customHeight="1" spans="1:11">
      <c r="A89" s="51"/>
      <c r="B89" s="31"/>
      <c r="C89" s="31"/>
      <c r="D89" s="31"/>
      <c r="E89" s="31"/>
      <c r="F89" s="71" t="str">
        <f>IFERROR(VLOOKUP(E89,日报!E:F,2,0),"")</f>
        <v/>
      </c>
      <c r="G89" s="31"/>
      <c r="H89" s="72" t="str">
        <f>IFERROR(VLOOKUP(E89,日报!E:H,4,0),"")</f>
        <v/>
      </c>
      <c r="I89" s="37" t="str">
        <f>IFERROR(VLOOKUP(E89,日报!E:G,3,0),"")</f>
        <v/>
      </c>
      <c r="J89" s="38" t="str">
        <f t="shared" si="1"/>
        <v/>
      </c>
      <c r="K89" s="70"/>
    </row>
    <row r="90" customHeight="1" spans="1:11">
      <c r="A90" s="51"/>
      <c r="B90" s="31"/>
      <c r="C90" s="31"/>
      <c r="D90" s="31"/>
      <c r="E90" s="31"/>
      <c r="F90" s="71" t="str">
        <f>IFERROR(VLOOKUP(E90,日报!E:F,2,0),"")</f>
        <v/>
      </c>
      <c r="G90" s="31"/>
      <c r="H90" s="72" t="str">
        <f>IFERROR(VLOOKUP(E90,日报!E:H,4,0),"")</f>
        <v/>
      </c>
      <c r="I90" s="37" t="str">
        <f>IFERROR(VLOOKUP(E90,日报!E:G,3,0),"")</f>
        <v/>
      </c>
      <c r="J90" s="38" t="str">
        <f t="shared" si="1"/>
        <v/>
      </c>
      <c r="K90" s="70"/>
    </row>
    <row r="91" customHeight="1" spans="1:11">
      <c r="A91" s="51"/>
      <c r="B91" s="31"/>
      <c r="C91" s="31"/>
      <c r="D91" s="31"/>
      <c r="E91" s="31"/>
      <c r="F91" s="71" t="str">
        <f>IFERROR(VLOOKUP(E91,日报!E:F,2,0),"")</f>
        <v/>
      </c>
      <c r="G91" s="31"/>
      <c r="H91" s="72" t="str">
        <f>IFERROR(VLOOKUP(E91,日报!E:H,4,0),"")</f>
        <v/>
      </c>
      <c r="I91" s="37" t="str">
        <f>IFERROR(VLOOKUP(E91,日报!E:G,3,0),"")</f>
        <v/>
      </c>
      <c r="J91" s="38" t="str">
        <f t="shared" si="1"/>
        <v/>
      </c>
      <c r="K91" s="70"/>
    </row>
    <row r="92" customHeight="1" spans="1:11">
      <c r="A92" s="51"/>
      <c r="B92" s="31"/>
      <c r="C92" s="31"/>
      <c r="D92" s="31"/>
      <c r="E92" s="31"/>
      <c r="F92" s="71" t="str">
        <f>IFERROR(VLOOKUP(E92,日报!E:F,2,0),"")</f>
        <v/>
      </c>
      <c r="G92" s="31"/>
      <c r="H92" s="72" t="str">
        <f>IFERROR(VLOOKUP(E92,日报!E:H,4,0),"")</f>
        <v/>
      </c>
      <c r="I92" s="37" t="str">
        <f>IFERROR(VLOOKUP(E92,日报!E:G,3,0),"")</f>
        <v/>
      </c>
      <c r="J92" s="38" t="str">
        <f t="shared" si="1"/>
        <v/>
      </c>
      <c r="K92" s="70"/>
    </row>
    <row r="93" customHeight="1" spans="1:11">
      <c r="A93" s="51"/>
      <c r="B93" s="31"/>
      <c r="C93" s="31"/>
      <c r="D93" s="31"/>
      <c r="E93" s="31"/>
      <c r="F93" s="71" t="str">
        <f>IFERROR(VLOOKUP(E93,日报!E:F,2,0),"")</f>
        <v/>
      </c>
      <c r="G93" s="31"/>
      <c r="H93" s="72" t="str">
        <f>IFERROR(VLOOKUP(E93,日报!E:H,4,0),"")</f>
        <v/>
      </c>
      <c r="I93" s="37" t="str">
        <f>IFERROR(VLOOKUP(E93,日报!E:G,3,0),"")</f>
        <v/>
      </c>
      <c r="J93" s="38" t="str">
        <f t="shared" si="1"/>
        <v/>
      </c>
      <c r="K93" s="70"/>
    </row>
    <row r="94" customHeight="1" spans="1:11">
      <c r="A94" s="51"/>
      <c r="B94" s="31"/>
      <c r="C94" s="31"/>
      <c r="D94" s="31"/>
      <c r="E94" s="31"/>
      <c r="F94" s="71" t="str">
        <f>IFERROR(VLOOKUP(E94,日报!E:F,2,0),"")</f>
        <v/>
      </c>
      <c r="G94" s="31"/>
      <c r="H94" s="72" t="str">
        <f>IFERROR(VLOOKUP(E94,日报!E:H,4,0),"")</f>
        <v/>
      </c>
      <c r="I94" s="37" t="str">
        <f>IFERROR(VLOOKUP(E94,日报!E:G,3,0),"")</f>
        <v/>
      </c>
      <c r="J94" s="38" t="str">
        <f t="shared" si="1"/>
        <v/>
      </c>
      <c r="K94" s="70"/>
    </row>
    <row r="95" customHeight="1" spans="1:11">
      <c r="A95" s="51"/>
      <c r="B95" s="31"/>
      <c r="C95" s="31"/>
      <c r="D95" s="31"/>
      <c r="E95" s="31"/>
      <c r="F95" s="71" t="str">
        <f>IFERROR(VLOOKUP(E95,日报!E:F,2,0),"")</f>
        <v/>
      </c>
      <c r="G95" s="31"/>
      <c r="H95" s="72" t="str">
        <f>IFERROR(VLOOKUP(E95,日报!E:H,4,0),"")</f>
        <v/>
      </c>
      <c r="I95" s="37" t="str">
        <f>IFERROR(VLOOKUP(E95,日报!E:G,3,0),"")</f>
        <v/>
      </c>
      <c r="J95" s="38" t="str">
        <f t="shared" si="1"/>
        <v/>
      </c>
      <c r="K95" s="70"/>
    </row>
    <row r="96" customHeight="1" spans="1:11">
      <c r="A96" s="51"/>
      <c r="B96" s="31"/>
      <c r="C96" s="31"/>
      <c r="D96" s="31"/>
      <c r="E96" s="31"/>
      <c r="F96" s="71" t="str">
        <f>IFERROR(VLOOKUP(E96,日报!E:F,2,0),"")</f>
        <v/>
      </c>
      <c r="G96" s="31"/>
      <c r="H96" s="72" t="str">
        <f>IFERROR(VLOOKUP(E96,日报!E:H,4,0),"")</f>
        <v/>
      </c>
      <c r="I96" s="37" t="str">
        <f>IFERROR(VLOOKUP(E96,日报!E:G,3,0),"")</f>
        <v/>
      </c>
      <c r="J96" s="38" t="str">
        <f t="shared" si="1"/>
        <v/>
      </c>
      <c r="K96" s="70"/>
    </row>
    <row r="97" customHeight="1" spans="1:11">
      <c r="A97" s="51"/>
      <c r="B97" s="31"/>
      <c r="C97" s="31"/>
      <c r="D97" s="31"/>
      <c r="E97" s="31"/>
      <c r="F97" s="71" t="str">
        <f>IFERROR(VLOOKUP(E97,日报!E:F,2,0),"")</f>
        <v/>
      </c>
      <c r="G97" s="31"/>
      <c r="H97" s="72" t="str">
        <f>IFERROR(VLOOKUP(E97,日报!E:H,4,0),"")</f>
        <v/>
      </c>
      <c r="I97" s="37" t="str">
        <f>IFERROR(VLOOKUP(E97,日报!E:G,3,0),"")</f>
        <v/>
      </c>
      <c r="J97" s="38" t="str">
        <f t="shared" si="1"/>
        <v/>
      </c>
      <c r="K97" s="70"/>
    </row>
    <row r="98" customHeight="1" spans="1:11">
      <c r="A98" s="51"/>
      <c r="B98" s="31"/>
      <c r="C98" s="31"/>
      <c r="D98" s="31"/>
      <c r="E98" s="31"/>
      <c r="F98" s="71" t="str">
        <f>IFERROR(VLOOKUP(E98,日报!E:F,2,0),"")</f>
        <v/>
      </c>
      <c r="G98" s="31"/>
      <c r="H98" s="72" t="str">
        <f>IFERROR(VLOOKUP(E98,日报!E:H,4,0),"")</f>
        <v/>
      </c>
      <c r="I98" s="37" t="str">
        <f>IFERROR(VLOOKUP(E98,日报!E:G,3,0),"")</f>
        <v/>
      </c>
      <c r="J98" s="38" t="str">
        <f t="shared" si="1"/>
        <v/>
      </c>
      <c r="K98" s="70"/>
    </row>
    <row r="99" customHeight="1" spans="1:11">
      <c r="A99" s="51"/>
      <c r="B99" s="31"/>
      <c r="C99" s="31"/>
      <c r="D99" s="31"/>
      <c r="E99" s="31"/>
      <c r="F99" s="71" t="str">
        <f>IFERROR(VLOOKUP(E99,日报!E:F,2,0),"")</f>
        <v/>
      </c>
      <c r="G99" s="31"/>
      <c r="H99" s="72" t="str">
        <f>IFERROR(VLOOKUP(E99,日报!E:H,4,0),"")</f>
        <v/>
      </c>
      <c r="I99" s="37" t="str">
        <f>IFERROR(VLOOKUP(E99,日报!E:G,3,0),"")</f>
        <v/>
      </c>
      <c r="J99" s="38" t="str">
        <f t="shared" si="1"/>
        <v/>
      </c>
      <c r="K99" s="70"/>
    </row>
    <row r="100" customHeight="1" spans="1:11">
      <c r="A100" s="51"/>
      <c r="B100" s="31"/>
      <c r="C100" s="31"/>
      <c r="D100" s="31"/>
      <c r="E100" s="31"/>
      <c r="F100" s="71" t="str">
        <f>IFERROR(VLOOKUP(E100,日报!E:F,2,0),"")</f>
        <v/>
      </c>
      <c r="G100" s="31"/>
      <c r="H100" s="72" t="str">
        <f>IFERROR(VLOOKUP(E100,日报!E:H,4,0),"")</f>
        <v/>
      </c>
      <c r="I100" s="37" t="str">
        <f>IFERROR(VLOOKUP(E100,日报!E:G,3,0),"")</f>
        <v/>
      </c>
      <c r="J100" s="38" t="str">
        <f t="shared" si="1"/>
        <v/>
      </c>
      <c r="K100" s="70"/>
    </row>
    <row r="101" customHeight="1" spans="1:11">
      <c r="A101" s="51"/>
      <c r="B101" s="31"/>
      <c r="C101" s="31"/>
      <c r="D101" s="31"/>
      <c r="E101" s="31"/>
      <c r="F101" s="71" t="str">
        <f>IFERROR(VLOOKUP(E101,日报!E:F,2,0),"")</f>
        <v/>
      </c>
      <c r="G101" s="31"/>
      <c r="H101" s="72" t="str">
        <f>IFERROR(VLOOKUP(E101,日报!E:H,4,0),"")</f>
        <v/>
      </c>
      <c r="I101" s="37" t="str">
        <f>IFERROR(VLOOKUP(E101,日报!E:G,3,0),"")</f>
        <v/>
      </c>
      <c r="J101" s="38" t="str">
        <f t="shared" si="1"/>
        <v/>
      </c>
      <c r="K101" s="70"/>
    </row>
    <row r="102" customHeight="1" spans="1:11">
      <c r="A102" s="51"/>
      <c r="B102" s="31"/>
      <c r="C102" s="31"/>
      <c r="D102" s="31"/>
      <c r="E102" s="31"/>
      <c r="F102" s="71" t="str">
        <f>IFERROR(VLOOKUP(E102,日报!E:F,2,0),"")</f>
        <v/>
      </c>
      <c r="G102" s="31"/>
      <c r="H102" s="72" t="str">
        <f>IFERROR(VLOOKUP(E102,日报!E:H,4,0),"")</f>
        <v/>
      </c>
      <c r="I102" s="37" t="str">
        <f>IFERROR(VLOOKUP(E102,日报!E:G,3,0),"")</f>
        <v/>
      </c>
      <c r="J102" s="38" t="str">
        <f t="shared" si="1"/>
        <v/>
      </c>
      <c r="K102" s="70"/>
    </row>
    <row r="103" customHeight="1" spans="1:11">
      <c r="A103" s="51"/>
      <c r="B103" s="31"/>
      <c r="C103" s="31"/>
      <c r="D103" s="31"/>
      <c r="E103" s="31"/>
      <c r="F103" s="71" t="str">
        <f>IFERROR(VLOOKUP(E103,日报!E:F,2,0),"")</f>
        <v/>
      </c>
      <c r="G103" s="31"/>
      <c r="H103" s="72" t="str">
        <f>IFERROR(VLOOKUP(E103,日报!E:H,4,0),"")</f>
        <v/>
      </c>
      <c r="I103" s="37" t="str">
        <f>IFERROR(VLOOKUP(E103,日报!E:G,3,0),"")</f>
        <v/>
      </c>
      <c r="J103" s="38" t="str">
        <f t="shared" si="1"/>
        <v/>
      </c>
      <c r="K103" s="70"/>
    </row>
    <row r="104" customHeight="1" spans="1:11">
      <c r="A104" s="51"/>
      <c r="B104" s="31"/>
      <c r="C104" s="31"/>
      <c r="D104" s="31"/>
      <c r="E104" s="31"/>
      <c r="F104" s="71" t="str">
        <f>IFERROR(VLOOKUP(E104,日报!E:F,2,0),"")</f>
        <v/>
      </c>
      <c r="G104" s="31"/>
      <c r="H104" s="72" t="str">
        <f>IFERROR(VLOOKUP(E104,日报!E:H,4,0),"")</f>
        <v/>
      </c>
      <c r="I104" s="37" t="str">
        <f>IFERROR(VLOOKUP(E104,日报!E:G,3,0),"")</f>
        <v/>
      </c>
      <c r="J104" s="38" t="str">
        <f t="shared" si="1"/>
        <v/>
      </c>
      <c r="K104" s="70"/>
    </row>
    <row r="105" customHeight="1" spans="1:11">
      <c r="A105" s="51"/>
      <c r="B105" s="31"/>
      <c r="C105" s="31"/>
      <c r="D105" s="31"/>
      <c r="E105" s="31"/>
      <c r="F105" s="71" t="str">
        <f>IFERROR(VLOOKUP(E105,日报!E:F,2,0),"")</f>
        <v/>
      </c>
      <c r="G105" s="31"/>
      <c r="H105" s="72" t="str">
        <f>IFERROR(VLOOKUP(E105,日报!E:H,4,0),"")</f>
        <v/>
      </c>
      <c r="I105" s="37" t="str">
        <f>IFERROR(VLOOKUP(E105,日报!E:G,3,0),"")</f>
        <v/>
      </c>
      <c r="J105" s="38" t="str">
        <f t="shared" si="1"/>
        <v/>
      </c>
      <c r="K105" s="70"/>
    </row>
    <row r="106" customHeight="1" spans="1:11">
      <c r="A106" s="51"/>
      <c r="B106" s="31"/>
      <c r="C106" s="31"/>
      <c r="D106" s="31"/>
      <c r="E106" s="31"/>
      <c r="F106" s="71" t="str">
        <f>IFERROR(VLOOKUP(E106,日报!E:F,2,0),"")</f>
        <v/>
      </c>
      <c r="G106" s="31"/>
      <c r="H106" s="72" t="str">
        <f>IFERROR(VLOOKUP(E106,日报!E:H,4,0),"")</f>
        <v/>
      </c>
      <c r="I106" s="37" t="str">
        <f>IFERROR(VLOOKUP(E106,日报!E:G,3,0),"")</f>
        <v/>
      </c>
      <c r="J106" s="38" t="str">
        <f t="shared" si="1"/>
        <v/>
      </c>
      <c r="K106" s="70"/>
    </row>
    <row r="107" customHeight="1" spans="1:11">
      <c r="A107" s="51"/>
      <c r="B107" s="31"/>
      <c r="C107" s="31"/>
      <c r="D107" s="31"/>
      <c r="E107" s="31"/>
      <c r="F107" s="71" t="str">
        <f>IFERROR(VLOOKUP(E107,日报!E:F,2,0),"")</f>
        <v/>
      </c>
      <c r="G107" s="31"/>
      <c r="H107" s="72" t="str">
        <f>IFERROR(VLOOKUP(E107,日报!E:H,4,0),"")</f>
        <v/>
      </c>
      <c r="I107" s="37" t="str">
        <f>IFERROR(VLOOKUP(E107,日报!E:G,3,0),"")</f>
        <v/>
      </c>
      <c r="J107" s="38" t="str">
        <f t="shared" si="1"/>
        <v/>
      </c>
      <c r="K107" s="70"/>
    </row>
    <row r="108" customHeight="1" spans="1:11">
      <c r="A108" s="51"/>
      <c r="B108" s="31"/>
      <c r="C108" s="31"/>
      <c r="D108" s="31"/>
      <c r="E108" s="31"/>
      <c r="F108" s="71" t="str">
        <f>IFERROR(VLOOKUP(E108,日报!E:F,2,0),"")</f>
        <v/>
      </c>
      <c r="G108" s="31"/>
      <c r="H108" s="72" t="str">
        <f>IFERROR(VLOOKUP(E108,日报!E:H,4,0),"")</f>
        <v/>
      </c>
      <c r="I108" s="37" t="str">
        <f>IFERROR(VLOOKUP(E108,日报!E:G,3,0),"")</f>
        <v/>
      </c>
      <c r="J108" s="38" t="str">
        <f t="shared" si="1"/>
        <v/>
      </c>
      <c r="K108" s="70"/>
    </row>
    <row r="109" customHeight="1" spans="1:11">
      <c r="A109" s="51"/>
      <c r="B109" s="31"/>
      <c r="C109" s="31"/>
      <c r="D109" s="31"/>
      <c r="E109" s="31"/>
      <c r="F109" s="71" t="str">
        <f>IFERROR(VLOOKUP(E109,日报!E:F,2,0),"")</f>
        <v/>
      </c>
      <c r="G109" s="31"/>
      <c r="H109" s="72" t="str">
        <f>IFERROR(VLOOKUP(E109,日报!E:H,4,0),"")</f>
        <v/>
      </c>
      <c r="I109" s="37" t="str">
        <f>IFERROR(VLOOKUP(E109,日报!E:G,3,0),"")</f>
        <v/>
      </c>
      <c r="J109" s="38" t="str">
        <f t="shared" si="1"/>
        <v/>
      </c>
      <c r="K109" s="70"/>
    </row>
    <row r="110" customHeight="1" spans="1:11">
      <c r="A110" s="51"/>
      <c r="B110" s="31"/>
      <c r="C110" s="31"/>
      <c r="D110" s="31"/>
      <c r="E110" s="31"/>
      <c r="F110" s="71" t="str">
        <f>IFERROR(VLOOKUP(E110,日报!E:F,2,0),"")</f>
        <v/>
      </c>
      <c r="G110" s="31"/>
      <c r="H110" s="72" t="str">
        <f>IFERROR(VLOOKUP(E110,日报!E:H,4,0),"")</f>
        <v/>
      </c>
      <c r="I110" s="37" t="str">
        <f>IFERROR(VLOOKUP(E110,日报!E:G,3,0),"")</f>
        <v/>
      </c>
      <c r="J110" s="38" t="str">
        <f t="shared" si="1"/>
        <v/>
      </c>
      <c r="K110" s="70"/>
    </row>
    <row r="111" customHeight="1" spans="1:11">
      <c r="A111" s="51"/>
      <c r="B111" s="31"/>
      <c r="C111" s="31"/>
      <c r="D111" s="31"/>
      <c r="E111" s="31"/>
      <c r="F111" s="71" t="str">
        <f>IFERROR(VLOOKUP(E111,日报!E:F,2,0),"")</f>
        <v/>
      </c>
      <c r="G111" s="31"/>
      <c r="H111" s="72" t="str">
        <f>IFERROR(VLOOKUP(E111,日报!E:H,4,0),"")</f>
        <v/>
      </c>
      <c r="I111" s="37" t="str">
        <f>IFERROR(VLOOKUP(E111,日报!E:G,3,0),"")</f>
        <v/>
      </c>
      <c r="J111" s="38" t="str">
        <f t="shared" si="1"/>
        <v/>
      </c>
      <c r="K111" s="70"/>
    </row>
    <row r="112" customHeight="1" spans="1:11">
      <c r="A112" s="51"/>
      <c r="B112" s="31"/>
      <c r="C112" s="31"/>
      <c r="D112" s="31"/>
      <c r="E112" s="31"/>
      <c r="F112" s="71" t="str">
        <f>IFERROR(VLOOKUP(E112,日报!E:F,2,0),"")</f>
        <v/>
      </c>
      <c r="G112" s="31"/>
      <c r="H112" s="72" t="str">
        <f>IFERROR(VLOOKUP(E112,日报!E:H,4,0),"")</f>
        <v/>
      </c>
      <c r="I112" s="37" t="str">
        <f>IFERROR(VLOOKUP(E112,日报!E:G,3,0),"")</f>
        <v/>
      </c>
      <c r="J112" s="38" t="str">
        <f t="shared" si="1"/>
        <v/>
      </c>
      <c r="K112" s="70"/>
    </row>
    <row r="113" customHeight="1" spans="1:11">
      <c r="A113" s="51"/>
      <c r="B113" s="31"/>
      <c r="C113" s="31"/>
      <c r="D113" s="31"/>
      <c r="E113" s="31"/>
      <c r="F113" s="71" t="str">
        <f>IFERROR(VLOOKUP(E113,日报!E:F,2,0),"")</f>
        <v/>
      </c>
      <c r="G113" s="31"/>
      <c r="H113" s="72" t="str">
        <f>IFERROR(VLOOKUP(E113,日报!E:H,4,0),"")</f>
        <v/>
      </c>
      <c r="I113" s="37" t="str">
        <f>IFERROR(VLOOKUP(E113,日报!E:G,3,0),"")</f>
        <v/>
      </c>
      <c r="J113" s="38" t="str">
        <f t="shared" si="1"/>
        <v/>
      </c>
      <c r="K113" s="70"/>
    </row>
    <row r="114" customHeight="1" spans="1:11">
      <c r="A114" s="51"/>
      <c r="B114" s="31"/>
      <c r="C114" s="31"/>
      <c r="D114" s="31"/>
      <c r="E114" s="31"/>
      <c r="F114" s="71" t="str">
        <f>IFERROR(VLOOKUP(E114,日报!E:F,2,0),"")</f>
        <v/>
      </c>
      <c r="G114" s="31"/>
      <c r="H114" s="72" t="str">
        <f>IFERROR(VLOOKUP(E114,日报!E:H,4,0),"")</f>
        <v/>
      </c>
      <c r="I114" s="37" t="str">
        <f>IFERROR(VLOOKUP(E114,日报!E:G,3,0),"")</f>
        <v/>
      </c>
      <c r="J114" s="38" t="str">
        <f t="shared" si="1"/>
        <v/>
      </c>
      <c r="K114" s="70"/>
    </row>
    <row r="115" customHeight="1" spans="1:11">
      <c r="A115" s="51"/>
      <c r="B115" s="31"/>
      <c r="C115" s="31"/>
      <c r="D115" s="31"/>
      <c r="E115" s="31"/>
      <c r="F115" s="71" t="str">
        <f>IFERROR(VLOOKUP(E115,日报!E:F,2,0),"")</f>
        <v/>
      </c>
      <c r="G115" s="31"/>
      <c r="H115" s="72" t="str">
        <f>IFERROR(VLOOKUP(E115,日报!E:H,4,0),"")</f>
        <v/>
      </c>
      <c r="I115" s="37" t="str">
        <f>IFERROR(VLOOKUP(E115,日报!E:G,3,0),"")</f>
        <v/>
      </c>
      <c r="J115" s="38" t="str">
        <f t="shared" si="1"/>
        <v/>
      </c>
      <c r="K115" s="70"/>
    </row>
    <row r="116" customHeight="1" spans="1:11">
      <c r="A116" s="51"/>
      <c r="B116" s="31"/>
      <c r="C116" s="31"/>
      <c r="D116" s="31"/>
      <c r="E116" s="31"/>
      <c r="F116" s="71" t="str">
        <f>IFERROR(VLOOKUP(E116,日报!E:F,2,0),"")</f>
        <v/>
      </c>
      <c r="G116" s="31"/>
      <c r="H116" s="72" t="str">
        <f>IFERROR(VLOOKUP(E116,日报!E:H,4,0),"")</f>
        <v/>
      </c>
      <c r="I116" s="37" t="str">
        <f>IFERROR(VLOOKUP(E116,日报!E:G,3,0),"")</f>
        <v/>
      </c>
      <c r="J116" s="38" t="str">
        <f t="shared" si="1"/>
        <v/>
      </c>
      <c r="K116" s="70"/>
    </row>
    <row r="117" customHeight="1" spans="1:11">
      <c r="A117" s="51"/>
      <c r="B117" s="31"/>
      <c r="C117" s="31"/>
      <c r="D117" s="31"/>
      <c r="E117" s="31"/>
      <c r="F117" s="71" t="str">
        <f>IFERROR(VLOOKUP(E117,日报!E:F,2,0),"")</f>
        <v/>
      </c>
      <c r="G117" s="31"/>
      <c r="H117" s="72" t="str">
        <f>IFERROR(VLOOKUP(E117,日报!E:H,4,0),"")</f>
        <v/>
      </c>
      <c r="I117" s="37" t="str">
        <f>IFERROR(VLOOKUP(E117,日报!E:G,3,0),"")</f>
        <v/>
      </c>
      <c r="J117" s="38" t="str">
        <f t="shared" si="1"/>
        <v/>
      </c>
      <c r="K117" s="70"/>
    </row>
    <row r="118" customHeight="1" spans="1:11">
      <c r="A118" s="51"/>
      <c r="B118" s="31"/>
      <c r="C118" s="31"/>
      <c r="D118" s="31"/>
      <c r="E118" s="31"/>
      <c r="F118" s="71" t="str">
        <f>IFERROR(VLOOKUP(E118,日报!E:F,2,0),"")</f>
        <v/>
      </c>
      <c r="G118" s="31"/>
      <c r="H118" s="72" t="str">
        <f>IFERROR(VLOOKUP(E118,日报!E:H,4,0),"")</f>
        <v/>
      </c>
      <c r="I118" s="37" t="str">
        <f>IFERROR(VLOOKUP(E118,日报!E:G,3,0),"")</f>
        <v/>
      </c>
      <c r="J118" s="38" t="str">
        <f t="shared" si="1"/>
        <v/>
      </c>
      <c r="K118" s="70"/>
    </row>
    <row r="119" customHeight="1" spans="1:11">
      <c r="A119" s="51"/>
      <c r="B119" s="31"/>
      <c r="C119" s="31"/>
      <c r="D119" s="31"/>
      <c r="E119" s="31"/>
      <c r="F119" s="71" t="str">
        <f>IFERROR(VLOOKUP(E119,日报!E:F,2,0),"")</f>
        <v/>
      </c>
      <c r="G119" s="31"/>
      <c r="H119" s="72" t="str">
        <f>IFERROR(VLOOKUP(E119,日报!E:H,4,0),"")</f>
        <v/>
      </c>
      <c r="I119" s="37" t="str">
        <f>IFERROR(VLOOKUP(E119,日报!E:G,3,0),"")</f>
        <v/>
      </c>
      <c r="J119" s="38" t="str">
        <f t="shared" si="1"/>
        <v/>
      </c>
      <c r="K119" s="70"/>
    </row>
    <row r="120" customHeight="1" spans="1:11">
      <c r="A120" s="51"/>
      <c r="B120" s="31"/>
      <c r="C120" s="31"/>
      <c r="D120" s="31"/>
      <c r="E120" s="31"/>
      <c r="F120" s="71" t="str">
        <f>IFERROR(VLOOKUP(E120,日报!E:F,2,0),"")</f>
        <v/>
      </c>
      <c r="G120" s="31"/>
      <c r="H120" s="72" t="str">
        <f>IFERROR(VLOOKUP(E120,日报!E:H,4,0),"")</f>
        <v/>
      </c>
      <c r="I120" s="37" t="str">
        <f>IFERROR(VLOOKUP(E120,日报!E:G,3,0),"")</f>
        <v/>
      </c>
      <c r="J120" s="38" t="str">
        <f t="shared" si="1"/>
        <v/>
      </c>
      <c r="K120" s="70"/>
    </row>
    <row r="121" customHeight="1" spans="1:11">
      <c r="A121" s="51"/>
      <c r="B121" s="31"/>
      <c r="C121" s="31"/>
      <c r="D121" s="31"/>
      <c r="E121" s="31"/>
      <c r="F121" s="71" t="str">
        <f>IFERROR(VLOOKUP(E121,日报!E:F,2,0),"")</f>
        <v/>
      </c>
      <c r="G121" s="31"/>
      <c r="H121" s="72" t="str">
        <f>IFERROR(VLOOKUP(E121,日报!E:H,4,0),"")</f>
        <v/>
      </c>
      <c r="I121" s="37" t="str">
        <f>IFERROR(VLOOKUP(E121,日报!E:G,3,0),"")</f>
        <v/>
      </c>
      <c r="J121" s="38" t="str">
        <f t="shared" si="1"/>
        <v/>
      </c>
      <c r="K121" s="70"/>
    </row>
    <row r="122" customHeight="1" spans="1:11">
      <c r="A122" s="51"/>
      <c r="B122" s="31"/>
      <c r="C122" s="31"/>
      <c r="D122" s="31"/>
      <c r="E122" s="31"/>
      <c r="F122" s="71" t="str">
        <f>IFERROR(VLOOKUP(E122,日报!E:F,2,0),"")</f>
        <v/>
      </c>
      <c r="G122" s="31"/>
      <c r="H122" s="72" t="str">
        <f>IFERROR(VLOOKUP(E122,日报!E:H,4,0),"")</f>
        <v/>
      </c>
      <c r="I122" s="37" t="str">
        <f>IFERROR(VLOOKUP(E122,日报!E:G,3,0),"")</f>
        <v/>
      </c>
      <c r="J122" s="38" t="str">
        <f t="shared" si="1"/>
        <v/>
      </c>
      <c r="K122" s="70"/>
    </row>
    <row r="123" customHeight="1" spans="1:11">
      <c r="A123" s="51"/>
      <c r="B123" s="31"/>
      <c r="C123" s="31"/>
      <c r="D123" s="31"/>
      <c r="E123" s="31"/>
      <c r="F123" s="71" t="str">
        <f>IFERROR(VLOOKUP(E123,日报!E:F,2,0),"")</f>
        <v/>
      </c>
      <c r="G123" s="31"/>
      <c r="H123" s="72" t="str">
        <f>IFERROR(VLOOKUP(E123,日报!E:H,4,0),"")</f>
        <v/>
      </c>
      <c r="I123" s="37" t="str">
        <f>IFERROR(VLOOKUP(E123,日报!E:G,3,0),"")</f>
        <v/>
      </c>
      <c r="J123" s="38" t="str">
        <f t="shared" si="1"/>
        <v/>
      </c>
      <c r="K123" s="70"/>
    </row>
    <row r="124" customHeight="1" spans="1:11">
      <c r="A124" s="51"/>
      <c r="B124" s="31"/>
      <c r="C124" s="31"/>
      <c r="D124" s="31"/>
      <c r="E124" s="31"/>
      <c r="F124" s="71" t="str">
        <f>IFERROR(VLOOKUP(E124,日报!E:F,2,0),"")</f>
        <v/>
      </c>
      <c r="G124" s="31"/>
      <c r="H124" s="72" t="str">
        <f>IFERROR(VLOOKUP(E124,日报!E:H,4,0),"")</f>
        <v/>
      </c>
      <c r="I124" s="37" t="str">
        <f>IFERROR(VLOOKUP(E124,日报!E:G,3,0),"")</f>
        <v/>
      </c>
      <c r="J124" s="38" t="str">
        <f t="shared" si="1"/>
        <v/>
      </c>
      <c r="K124" s="70"/>
    </row>
    <row r="125" customHeight="1" spans="1:11">
      <c r="A125" s="51"/>
      <c r="B125" s="31"/>
      <c r="C125" s="31"/>
      <c r="D125" s="31"/>
      <c r="E125" s="31"/>
      <c r="F125" s="71" t="str">
        <f>IFERROR(VLOOKUP(E125,日报!E:F,2,0),"")</f>
        <v/>
      </c>
      <c r="G125" s="31"/>
      <c r="H125" s="72" t="str">
        <f>IFERROR(VLOOKUP(E125,日报!E:H,4,0),"")</f>
        <v/>
      </c>
      <c r="I125" s="37" t="str">
        <f>IFERROR(VLOOKUP(E125,日报!E:G,3,0),"")</f>
        <v/>
      </c>
      <c r="J125" s="38" t="str">
        <f t="shared" si="1"/>
        <v/>
      </c>
      <c r="K125" s="70"/>
    </row>
    <row r="126" customHeight="1" spans="1:11">
      <c r="A126" s="51"/>
      <c r="B126" s="31"/>
      <c r="C126" s="31"/>
      <c r="D126" s="31"/>
      <c r="E126" s="31"/>
      <c r="F126" s="71" t="str">
        <f>IFERROR(VLOOKUP(E126,日报!E:F,2,0),"")</f>
        <v/>
      </c>
      <c r="G126" s="31"/>
      <c r="H126" s="72" t="str">
        <f>IFERROR(VLOOKUP(E126,日报!E:H,4,0),"")</f>
        <v/>
      </c>
      <c r="I126" s="37" t="str">
        <f>IFERROR(VLOOKUP(E126,日报!E:G,3,0),"")</f>
        <v/>
      </c>
      <c r="J126" s="38" t="str">
        <f t="shared" si="1"/>
        <v/>
      </c>
      <c r="K126" s="70"/>
    </row>
    <row r="127" customHeight="1" spans="1:11">
      <c r="A127" s="51"/>
      <c r="B127" s="31"/>
      <c r="C127" s="31"/>
      <c r="D127" s="31"/>
      <c r="E127" s="31"/>
      <c r="F127" s="71" t="str">
        <f>IFERROR(VLOOKUP(E127,日报!E:F,2,0),"")</f>
        <v/>
      </c>
      <c r="G127" s="31"/>
      <c r="H127" s="72" t="str">
        <f>IFERROR(VLOOKUP(E127,日报!E:H,4,0),"")</f>
        <v/>
      </c>
      <c r="I127" s="37" t="str">
        <f>IFERROR(VLOOKUP(E127,日报!E:G,3,0),"")</f>
        <v/>
      </c>
      <c r="J127" s="38" t="str">
        <f t="shared" si="1"/>
        <v/>
      </c>
      <c r="K127" s="70"/>
    </row>
    <row r="128" customHeight="1" spans="1:11">
      <c r="A128" s="51"/>
      <c r="B128" s="31"/>
      <c r="C128" s="31"/>
      <c r="D128" s="31"/>
      <c r="E128" s="31"/>
      <c r="F128" s="71" t="str">
        <f>IFERROR(VLOOKUP(E128,日报!E:F,2,0),"")</f>
        <v/>
      </c>
      <c r="G128" s="31"/>
      <c r="H128" s="72" t="str">
        <f>IFERROR(VLOOKUP(E128,日报!E:H,4,0),"")</f>
        <v/>
      </c>
      <c r="I128" s="37" t="str">
        <f>IFERROR(VLOOKUP(E128,日报!E:G,3,0),"")</f>
        <v/>
      </c>
      <c r="J128" s="38" t="str">
        <f t="shared" si="1"/>
        <v/>
      </c>
      <c r="K128" s="70"/>
    </row>
    <row r="129" customHeight="1" spans="1:11">
      <c r="A129" s="51"/>
      <c r="B129" s="31"/>
      <c r="C129" s="31"/>
      <c r="D129" s="31"/>
      <c r="E129" s="31"/>
      <c r="F129" s="71" t="str">
        <f>IFERROR(VLOOKUP(E129,日报!E:F,2,0),"")</f>
        <v/>
      </c>
      <c r="G129" s="31"/>
      <c r="H129" s="72" t="str">
        <f>IFERROR(VLOOKUP(E129,日报!E:H,4,0),"")</f>
        <v/>
      </c>
      <c r="I129" s="37" t="str">
        <f>IFERROR(VLOOKUP(E129,日报!E:G,3,0),"")</f>
        <v/>
      </c>
      <c r="J129" s="38" t="str">
        <f t="shared" si="1"/>
        <v/>
      </c>
      <c r="K129" s="70"/>
    </row>
    <row r="130" customHeight="1" spans="1:11">
      <c r="A130" s="51"/>
      <c r="B130" s="31"/>
      <c r="C130" s="31"/>
      <c r="D130" s="31"/>
      <c r="E130" s="31"/>
      <c r="F130" s="71" t="str">
        <f>IFERROR(VLOOKUP(E130,日报!E:F,2,0),"")</f>
        <v/>
      </c>
      <c r="G130" s="31"/>
      <c r="H130" s="72" t="str">
        <f>IFERROR(VLOOKUP(E130,日报!E:H,4,0),"")</f>
        <v/>
      </c>
      <c r="I130" s="37" t="str">
        <f>IFERROR(VLOOKUP(E130,日报!E:G,3,0),"")</f>
        <v/>
      </c>
      <c r="J130" s="38" t="str">
        <f t="shared" si="1"/>
        <v/>
      </c>
      <c r="K130" s="70"/>
    </row>
    <row r="131" customHeight="1" spans="1:11">
      <c r="A131" s="51"/>
      <c r="B131" s="31"/>
      <c r="C131" s="31"/>
      <c r="D131" s="31"/>
      <c r="E131" s="31"/>
      <c r="F131" s="71" t="str">
        <f>IFERROR(VLOOKUP(E131,日报!E:F,2,0),"")</f>
        <v/>
      </c>
      <c r="G131" s="31"/>
      <c r="H131" s="72" t="str">
        <f>IFERROR(VLOOKUP(E131,日报!E:H,4,0),"")</f>
        <v/>
      </c>
      <c r="I131" s="37" t="str">
        <f>IFERROR(VLOOKUP(E131,日报!E:G,3,0),"")</f>
        <v/>
      </c>
      <c r="J131" s="38" t="str">
        <f t="shared" si="1"/>
        <v/>
      </c>
      <c r="K131" s="70"/>
    </row>
    <row r="132" customHeight="1" spans="1:11">
      <c r="A132" s="51"/>
      <c r="B132" s="31"/>
      <c r="C132" s="31"/>
      <c r="D132" s="31"/>
      <c r="E132" s="31"/>
      <c r="F132" s="71" t="str">
        <f>IFERROR(VLOOKUP(E132,日报!E:F,2,0),"")</f>
        <v/>
      </c>
      <c r="G132" s="31"/>
      <c r="H132" s="72" t="str">
        <f>IFERROR(VLOOKUP(E132,日报!E:H,4,0),"")</f>
        <v/>
      </c>
      <c r="I132" s="37" t="str">
        <f>IFERROR(VLOOKUP(E132,日报!E:G,3,0),"")</f>
        <v/>
      </c>
      <c r="J132" s="38" t="str">
        <f t="shared" ref="J132:J195" si="2">IFERROR(G132/I132,"")</f>
        <v/>
      </c>
      <c r="K132" s="70"/>
    </row>
    <row r="133" customHeight="1" spans="1:11">
      <c r="A133" s="51"/>
      <c r="B133" s="31"/>
      <c r="C133" s="31"/>
      <c r="D133" s="31"/>
      <c r="E133" s="31"/>
      <c r="F133" s="71" t="str">
        <f>IFERROR(VLOOKUP(E133,日报!E:F,2,0),"")</f>
        <v/>
      </c>
      <c r="G133" s="31"/>
      <c r="H133" s="72" t="str">
        <f>IFERROR(VLOOKUP(E133,日报!E:H,4,0),"")</f>
        <v/>
      </c>
      <c r="I133" s="37" t="str">
        <f>IFERROR(VLOOKUP(E133,日报!E:G,3,0),"")</f>
        <v/>
      </c>
      <c r="J133" s="38" t="str">
        <f t="shared" si="2"/>
        <v/>
      </c>
      <c r="K133" s="70"/>
    </row>
    <row r="134" customHeight="1" spans="1:11">
      <c r="A134" s="51"/>
      <c r="B134" s="31"/>
      <c r="C134" s="31"/>
      <c r="D134" s="31"/>
      <c r="E134" s="31"/>
      <c r="F134" s="71" t="str">
        <f>IFERROR(VLOOKUP(E134,日报!E:F,2,0),"")</f>
        <v/>
      </c>
      <c r="G134" s="31"/>
      <c r="H134" s="72" t="str">
        <f>IFERROR(VLOOKUP(E134,日报!E:H,4,0),"")</f>
        <v/>
      </c>
      <c r="I134" s="37" t="str">
        <f>IFERROR(VLOOKUP(E134,日报!E:G,3,0),"")</f>
        <v/>
      </c>
      <c r="J134" s="38" t="str">
        <f t="shared" si="2"/>
        <v/>
      </c>
      <c r="K134" s="70"/>
    </row>
    <row r="135" customHeight="1" spans="1:11">
      <c r="A135" s="51"/>
      <c r="B135" s="31"/>
      <c r="C135" s="31"/>
      <c r="D135" s="31"/>
      <c r="E135" s="31"/>
      <c r="F135" s="71" t="str">
        <f>IFERROR(VLOOKUP(E135,日报!E:F,2,0),"")</f>
        <v/>
      </c>
      <c r="G135" s="31"/>
      <c r="H135" s="72" t="str">
        <f>IFERROR(VLOOKUP(E135,日报!E:H,4,0),"")</f>
        <v/>
      </c>
      <c r="I135" s="37" t="str">
        <f>IFERROR(VLOOKUP(E135,日报!E:G,3,0),"")</f>
        <v/>
      </c>
      <c r="J135" s="38" t="str">
        <f t="shared" si="2"/>
        <v/>
      </c>
      <c r="K135" s="70"/>
    </row>
    <row r="136" customHeight="1" spans="1:11">
      <c r="A136" s="51"/>
      <c r="B136" s="31"/>
      <c r="C136" s="31"/>
      <c r="D136" s="31"/>
      <c r="E136" s="31"/>
      <c r="F136" s="71" t="str">
        <f>IFERROR(VLOOKUP(E136,日报!E:F,2,0),"")</f>
        <v/>
      </c>
      <c r="G136" s="31"/>
      <c r="H136" s="72" t="str">
        <f>IFERROR(VLOOKUP(E136,日报!E:H,4,0),"")</f>
        <v/>
      </c>
      <c r="I136" s="37" t="str">
        <f>IFERROR(VLOOKUP(E136,日报!E:G,3,0),"")</f>
        <v/>
      </c>
      <c r="J136" s="38" t="str">
        <f t="shared" si="2"/>
        <v/>
      </c>
      <c r="K136" s="70"/>
    </row>
    <row r="137" customHeight="1" spans="1:11">
      <c r="A137" s="51"/>
      <c r="B137" s="31"/>
      <c r="C137" s="31"/>
      <c r="D137" s="31"/>
      <c r="E137" s="31"/>
      <c r="F137" s="71" t="str">
        <f>IFERROR(VLOOKUP(E137,日报!E:F,2,0),"")</f>
        <v/>
      </c>
      <c r="G137" s="31"/>
      <c r="H137" s="72" t="str">
        <f>IFERROR(VLOOKUP(E137,日报!E:H,4,0),"")</f>
        <v/>
      </c>
      <c r="I137" s="37" t="str">
        <f>IFERROR(VLOOKUP(E137,日报!E:G,3,0),"")</f>
        <v/>
      </c>
      <c r="J137" s="38" t="str">
        <f t="shared" si="2"/>
        <v/>
      </c>
      <c r="K137" s="70"/>
    </row>
    <row r="138" customHeight="1" spans="1:11">
      <c r="A138" s="51"/>
      <c r="B138" s="31"/>
      <c r="C138" s="31"/>
      <c r="D138" s="31"/>
      <c r="E138" s="31"/>
      <c r="F138" s="71" t="str">
        <f>IFERROR(VLOOKUP(E138,日报!E:F,2,0),"")</f>
        <v/>
      </c>
      <c r="G138" s="31"/>
      <c r="H138" s="72" t="str">
        <f>IFERROR(VLOOKUP(E138,日报!E:H,4,0),"")</f>
        <v/>
      </c>
      <c r="I138" s="37" t="str">
        <f>IFERROR(VLOOKUP(E138,日报!E:G,3,0),"")</f>
        <v/>
      </c>
      <c r="J138" s="38" t="str">
        <f t="shared" si="2"/>
        <v/>
      </c>
      <c r="K138" s="70"/>
    </row>
    <row r="139" customHeight="1" spans="1:11">
      <c r="A139" s="51"/>
      <c r="B139" s="31"/>
      <c r="C139" s="31"/>
      <c r="D139" s="31"/>
      <c r="E139" s="31"/>
      <c r="F139" s="71" t="str">
        <f>IFERROR(VLOOKUP(E139,日报!E:F,2,0),"")</f>
        <v/>
      </c>
      <c r="G139" s="31"/>
      <c r="H139" s="72" t="str">
        <f>IFERROR(VLOOKUP(E139,日报!E:H,4,0),"")</f>
        <v/>
      </c>
      <c r="I139" s="37" t="str">
        <f>IFERROR(VLOOKUP(E139,日报!E:G,3,0),"")</f>
        <v/>
      </c>
      <c r="J139" s="38" t="str">
        <f t="shared" si="2"/>
        <v/>
      </c>
      <c r="K139" s="70"/>
    </row>
    <row r="140" customHeight="1" spans="1:11">
      <c r="A140" s="51"/>
      <c r="B140" s="31"/>
      <c r="C140" s="31"/>
      <c r="D140" s="31"/>
      <c r="E140" s="31"/>
      <c r="F140" s="71" t="str">
        <f>IFERROR(VLOOKUP(E140,日报!E:F,2,0),"")</f>
        <v/>
      </c>
      <c r="G140" s="31"/>
      <c r="H140" s="72" t="str">
        <f>IFERROR(VLOOKUP(E140,日报!E:H,4,0),"")</f>
        <v/>
      </c>
      <c r="I140" s="37" t="str">
        <f>IFERROR(VLOOKUP(E140,日报!E:G,3,0),"")</f>
        <v/>
      </c>
      <c r="J140" s="38" t="str">
        <f t="shared" si="2"/>
        <v/>
      </c>
      <c r="K140" s="70"/>
    </row>
    <row r="141" customHeight="1" spans="1:11">
      <c r="A141" s="51"/>
      <c r="B141" s="31"/>
      <c r="C141" s="31"/>
      <c r="D141" s="31"/>
      <c r="E141" s="31"/>
      <c r="F141" s="71" t="str">
        <f>IFERROR(VLOOKUP(E141,日报!E:F,2,0),"")</f>
        <v/>
      </c>
      <c r="G141" s="31"/>
      <c r="H141" s="72" t="str">
        <f>IFERROR(VLOOKUP(E141,日报!E:H,4,0),"")</f>
        <v/>
      </c>
      <c r="I141" s="37" t="str">
        <f>IFERROR(VLOOKUP(E141,日报!E:G,3,0),"")</f>
        <v/>
      </c>
      <c r="J141" s="38" t="str">
        <f t="shared" si="2"/>
        <v/>
      </c>
      <c r="K141" s="70"/>
    </row>
    <row r="142" customHeight="1" spans="1:11">
      <c r="A142" s="51"/>
      <c r="B142" s="31"/>
      <c r="C142" s="31"/>
      <c r="D142" s="31"/>
      <c r="E142" s="31"/>
      <c r="F142" s="71" t="str">
        <f>IFERROR(VLOOKUP(E142,日报!E:F,2,0),"")</f>
        <v/>
      </c>
      <c r="G142" s="31"/>
      <c r="H142" s="72" t="str">
        <f>IFERROR(VLOOKUP(E142,日报!E:H,4,0),"")</f>
        <v/>
      </c>
      <c r="I142" s="37" t="str">
        <f>IFERROR(VLOOKUP(E142,日报!E:G,3,0),"")</f>
        <v/>
      </c>
      <c r="J142" s="38" t="str">
        <f t="shared" si="2"/>
        <v/>
      </c>
      <c r="K142" s="70"/>
    </row>
    <row r="143" customHeight="1" spans="1:11">
      <c r="A143" s="51"/>
      <c r="B143" s="31"/>
      <c r="C143" s="31"/>
      <c r="D143" s="31"/>
      <c r="E143" s="31"/>
      <c r="F143" s="71" t="str">
        <f>IFERROR(VLOOKUP(E143,日报!E:F,2,0),"")</f>
        <v/>
      </c>
      <c r="G143" s="31"/>
      <c r="H143" s="72" t="str">
        <f>IFERROR(VLOOKUP(E143,日报!E:H,4,0),"")</f>
        <v/>
      </c>
      <c r="I143" s="37" t="str">
        <f>IFERROR(VLOOKUP(E143,日报!E:G,3,0),"")</f>
        <v/>
      </c>
      <c r="J143" s="38" t="str">
        <f t="shared" si="2"/>
        <v/>
      </c>
      <c r="K143" s="70"/>
    </row>
    <row r="144" customHeight="1" spans="1:11">
      <c r="A144" s="51"/>
      <c r="B144" s="31"/>
      <c r="C144" s="31"/>
      <c r="D144" s="31"/>
      <c r="E144" s="31"/>
      <c r="F144" s="71" t="str">
        <f>IFERROR(VLOOKUP(E144,日报!E:F,2,0),"")</f>
        <v/>
      </c>
      <c r="G144" s="31"/>
      <c r="H144" s="72" t="str">
        <f>IFERROR(VLOOKUP(E144,日报!E:H,4,0),"")</f>
        <v/>
      </c>
      <c r="I144" s="37" t="str">
        <f>IFERROR(VLOOKUP(E144,日报!E:G,4,0),"")</f>
        <v/>
      </c>
      <c r="J144" s="38" t="str">
        <f t="shared" si="2"/>
        <v/>
      </c>
      <c r="K144" s="70"/>
    </row>
    <row r="145" customHeight="1" spans="1:11">
      <c r="A145" s="51"/>
      <c r="B145" s="31"/>
      <c r="C145" s="31"/>
      <c r="D145" s="31"/>
      <c r="E145" s="31"/>
      <c r="F145" s="71" t="str">
        <f>IFERROR(VLOOKUP(E145,日报!E:F,2,0),"")</f>
        <v/>
      </c>
      <c r="G145" s="31"/>
      <c r="H145" s="72" t="str">
        <f>IFERROR(VLOOKUP(E145,日报!E:H,4,0),"")</f>
        <v/>
      </c>
      <c r="I145" s="37" t="str">
        <f>IFERROR(VLOOKUP(E145,日报!E:G,4,0),"")</f>
        <v/>
      </c>
      <c r="J145" s="38" t="str">
        <f t="shared" si="2"/>
        <v/>
      </c>
      <c r="K145" s="70"/>
    </row>
    <row r="146" customHeight="1" spans="1:11">
      <c r="A146" s="51"/>
      <c r="B146" s="31"/>
      <c r="C146" s="31"/>
      <c r="D146" s="31"/>
      <c r="E146" s="31"/>
      <c r="F146" s="71" t="str">
        <f>IFERROR(VLOOKUP(E146,日报!E:F,2,0),"")</f>
        <v/>
      </c>
      <c r="G146" s="31"/>
      <c r="H146" s="72" t="str">
        <f>IFERROR(VLOOKUP(E146,日报!E:H,4,0),"")</f>
        <v/>
      </c>
      <c r="I146" s="37" t="str">
        <f>IFERROR(VLOOKUP(E146,日报!E:G,4,0),"")</f>
        <v/>
      </c>
      <c r="J146" s="38" t="str">
        <f t="shared" si="2"/>
        <v/>
      </c>
      <c r="K146" s="70"/>
    </row>
    <row r="147" customHeight="1" spans="1:11">
      <c r="A147" s="51"/>
      <c r="B147" s="31"/>
      <c r="C147" s="31"/>
      <c r="D147" s="31"/>
      <c r="E147" s="31"/>
      <c r="F147" s="71" t="str">
        <f>IFERROR(VLOOKUP(E147,日报!E:F,2,0),"")</f>
        <v/>
      </c>
      <c r="G147" s="31"/>
      <c r="H147" s="72" t="str">
        <f>IFERROR(VLOOKUP(E147,日报!E:H,4,0),"")</f>
        <v/>
      </c>
      <c r="I147" s="37" t="str">
        <f>IFERROR(VLOOKUP(E147,日报!E:G,4,0),"")</f>
        <v/>
      </c>
      <c r="J147" s="38" t="str">
        <f t="shared" si="2"/>
        <v/>
      </c>
      <c r="K147" s="70"/>
    </row>
    <row r="148" customHeight="1" spans="1:11">
      <c r="A148" s="51"/>
      <c r="B148" s="31"/>
      <c r="C148" s="31"/>
      <c r="D148" s="31"/>
      <c r="E148" s="31"/>
      <c r="F148" s="71" t="str">
        <f>IFERROR(VLOOKUP(E148,日报!E:F,2,0),"")</f>
        <v/>
      </c>
      <c r="G148" s="31"/>
      <c r="H148" s="72" t="str">
        <f>IFERROR(VLOOKUP(E148,日报!E:H,4,0),"")</f>
        <v/>
      </c>
      <c r="I148" s="37" t="str">
        <f>IFERROR(VLOOKUP(E148,日报!E:G,4,0),"")</f>
        <v/>
      </c>
      <c r="J148" s="38" t="str">
        <f t="shared" si="2"/>
        <v/>
      </c>
      <c r="K148" s="70"/>
    </row>
    <row r="149" customHeight="1" spans="1:11">
      <c r="A149" s="51"/>
      <c r="B149" s="31"/>
      <c r="C149" s="31"/>
      <c r="D149" s="31"/>
      <c r="E149" s="31"/>
      <c r="F149" s="71" t="str">
        <f>IFERROR(VLOOKUP(E149,日报!E:F,2,0),"")</f>
        <v/>
      </c>
      <c r="G149" s="31"/>
      <c r="H149" s="72" t="str">
        <f>IFERROR(VLOOKUP(E149,日报!E:H,4,0),"")</f>
        <v/>
      </c>
      <c r="I149" s="37" t="str">
        <f>IFERROR(VLOOKUP(E149,日报!E:G,4,0),"")</f>
        <v/>
      </c>
      <c r="J149" s="38" t="str">
        <f t="shared" si="2"/>
        <v/>
      </c>
      <c r="K149" s="70"/>
    </row>
    <row r="150" customHeight="1" spans="1:11">
      <c r="A150" s="51"/>
      <c r="B150" s="31"/>
      <c r="C150" s="31"/>
      <c r="D150" s="31"/>
      <c r="E150" s="31"/>
      <c r="F150" s="71" t="str">
        <f>IFERROR(VLOOKUP(E150,日报!E:F,2,0),"")</f>
        <v/>
      </c>
      <c r="G150" s="31"/>
      <c r="H150" s="72" t="str">
        <f>IFERROR(VLOOKUP(E150,日报!E:H,4,0),"")</f>
        <v/>
      </c>
      <c r="I150" s="37" t="str">
        <f>IFERROR(VLOOKUP(E150,日报!E:G,4,0),"")</f>
        <v/>
      </c>
      <c r="J150" s="38" t="str">
        <f t="shared" si="2"/>
        <v/>
      </c>
      <c r="K150" s="70"/>
    </row>
    <row r="151" customHeight="1" spans="1:11">
      <c r="A151" s="51"/>
      <c r="B151" s="31"/>
      <c r="C151" s="31"/>
      <c r="D151" s="31"/>
      <c r="E151" s="31"/>
      <c r="F151" s="71" t="str">
        <f>IFERROR(VLOOKUP(E151,日报!E:F,2,0),"")</f>
        <v/>
      </c>
      <c r="G151" s="31"/>
      <c r="H151" s="72" t="str">
        <f>IFERROR(VLOOKUP(E151,日报!E:H,4,0),"")</f>
        <v/>
      </c>
      <c r="I151" s="37" t="str">
        <f>IFERROR(VLOOKUP(E151,日报!E:G,4,0),"")</f>
        <v/>
      </c>
      <c r="J151" s="38" t="str">
        <f t="shared" si="2"/>
        <v/>
      </c>
      <c r="K151" s="70"/>
    </row>
    <row r="152" customHeight="1" spans="1:11">
      <c r="A152" s="51"/>
      <c r="B152" s="31"/>
      <c r="C152" s="31"/>
      <c r="D152" s="31"/>
      <c r="E152" s="31"/>
      <c r="F152" s="71" t="str">
        <f>IFERROR(VLOOKUP(E152,日报!E:F,2,0),"")</f>
        <v/>
      </c>
      <c r="G152" s="31"/>
      <c r="H152" s="72" t="str">
        <f>IFERROR(VLOOKUP(E152,日报!E:H,4,0),"")</f>
        <v/>
      </c>
      <c r="I152" s="37" t="str">
        <f>IFERROR(VLOOKUP(E152,日报!E:G,4,0),"")</f>
        <v/>
      </c>
      <c r="J152" s="38" t="str">
        <f t="shared" si="2"/>
        <v/>
      </c>
      <c r="K152" s="70"/>
    </row>
    <row r="153" customHeight="1" spans="1:11">
      <c r="A153" s="51"/>
      <c r="B153" s="31"/>
      <c r="C153" s="31"/>
      <c r="D153" s="31"/>
      <c r="E153" s="31"/>
      <c r="F153" s="71" t="str">
        <f>IFERROR(VLOOKUP(E153,日报!E:F,2,0),"")</f>
        <v/>
      </c>
      <c r="G153" s="31"/>
      <c r="H153" s="72" t="str">
        <f>IFERROR(VLOOKUP(E153,日报!E:H,4,0),"")</f>
        <v/>
      </c>
      <c r="I153" s="37" t="str">
        <f>IFERROR(VLOOKUP(E153,日报!E:G,4,0),"")</f>
        <v/>
      </c>
      <c r="J153" s="38" t="str">
        <f t="shared" si="2"/>
        <v/>
      </c>
      <c r="K153" s="70"/>
    </row>
    <row r="154" customHeight="1" spans="1:11">
      <c r="A154" s="51"/>
      <c r="B154" s="31"/>
      <c r="C154" s="31"/>
      <c r="D154" s="31"/>
      <c r="E154" s="31"/>
      <c r="F154" s="71" t="str">
        <f>IFERROR(VLOOKUP(E154,日报!E:F,2,0),"")</f>
        <v/>
      </c>
      <c r="G154" s="31"/>
      <c r="H154" s="72" t="str">
        <f>IFERROR(VLOOKUP(E154,日报!E:H,4,0),"")</f>
        <v/>
      </c>
      <c r="I154" s="37" t="str">
        <f>IFERROR(VLOOKUP(E154,日报!E:G,4,0),"")</f>
        <v/>
      </c>
      <c r="J154" s="38" t="str">
        <f t="shared" si="2"/>
        <v/>
      </c>
      <c r="K154" s="70"/>
    </row>
    <row r="155" customHeight="1" spans="1:11">
      <c r="A155" s="51"/>
      <c r="B155" s="31"/>
      <c r="C155" s="31"/>
      <c r="D155" s="31"/>
      <c r="E155" s="31"/>
      <c r="F155" s="71" t="str">
        <f>IFERROR(VLOOKUP(E155,日报!E:F,2,0),"")</f>
        <v/>
      </c>
      <c r="G155" s="31"/>
      <c r="H155" s="72" t="str">
        <f>IFERROR(VLOOKUP(E155,日报!E:H,4,0),"")</f>
        <v/>
      </c>
      <c r="I155" s="37" t="str">
        <f>IFERROR(VLOOKUP(E155,日报!E:G,4,0),"")</f>
        <v/>
      </c>
      <c r="J155" s="38" t="str">
        <f t="shared" si="2"/>
        <v/>
      </c>
      <c r="K155" s="70"/>
    </row>
    <row r="156" customHeight="1" spans="1:11">
      <c r="A156" s="51"/>
      <c r="B156" s="31"/>
      <c r="C156" s="31"/>
      <c r="D156" s="31"/>
      <c r="E156" s="31"/>
      <c r="F156" s="71" t="str">
        <f>IFERROR(VLOOKUP(E156,日报!E:F,2,0),"")</f>
        <v/>
      </c>
      <c r="G156" s="31"/>
      <c r="H156" s="72" t="str">
        <f>IFERROR(VLOOKUP(E156,日报!E:H,4,0),"")</f>
        <v/>
      </c>
      <c r="I156" s="37" t="str">
        <f>IFERROR(VLOOKUP(E156,日报!E:G,4,0),"")</f>
        <v/>
      </c>
      <c r="J156" s="38" t="str">
        <f t="shared" si="2"/>
        <v/>
      </c>
      <c r="K156" s="70"/>
    </row>
    <row r="157" customHeight="1" spans="1:11">
      <c r="A157" s="51"/>
      <c r="B157" s="31"/>
      <c r="C157" s="31"/>
      <c r="D157" s="31"/>
      <c r="E157" s="31"/>
      <c r="F157" s="71" t="str">
        <f>IFERROR(VLOOKUP(E157,日报!E:F,2,0),"")</f>
        <v/>
      </c>
      <c r="G157" s="31"/>
      <c r="H157" s="72" t="str">
        <f>IFERROR(VLOOKUP(E157,日报!E:H,4,0),"")</f>
        <v/>
      </c>
      <c r="I157" s="37" t="str">
        <f>IFERROR(VLOOKUP(E157,日报!E:G,4,0),"")</f>
        <v/>
      </c>
      <c r="J157" s="38" t="str">
        <f t="shared" si="2"/>
        <v/>
      </c>
      <c r="K157" s="70"/>
    </row>
    <row r="158" customHeight="1" spans="1:11">
      <c r="A158" s="51"/>
      <c r="B158" s="31"/>
      <c r="C158" s="31"/>
      <c r="D158" s="31"/>
      <c r="E158" s="31"/>
      <c r="F158" s="71" t="str">
        <f>IFERROR(VLOOKUP(E158,日报!E:F,2,0),"")</f>
        <v/>
      </c>
      <c r="G158" s="31"/>
      <c r="H158" s="72" t="str">
        <f>IFERROR(VLOOKUP(E158,日报!E:H,4,0),"")</f>
        <v/>
      </c>
      <c r="I158" s="37" t="str">
        <f>IFERROR(VLOOKUP(E158,日报!E:G,4,0),"")</f>
        <v/>
      </c>
      <c r="J158" s="38" t="str">
        <f t="shared" si="2"/>
        <v/>
      </c>
      <c r="K158" s="70"/>
    </row>
    <row r="159" customHeight="1" spans="1:11">
      <c r="A159" s="51"/>
      <c r="B159" s="31"/>
      <c r="C159" s="31"/>
      <c r="D159" s="31"/>
      <c r="E159" s="31"/>
      <c r="F159" s="71" t="str">
        <f>IFERROR(VLOOKUP(E159,日报!E:F,2,0),"")</f>
        <v/>
      </c>
      <c r="G159" s="31"/>
      <c r="H159" s="72" t="str">
        <f>IFERROR(VLOOKUP(E159,日报!E:H,4,0),"")</f>
        <v/>
      </c>
      <c r="I159" s="37" t="str">
        <f>IFERROR(VLOOKUP(E159,日报!E:G,4,0),"")</f>
        <v/>
      </c>
      <c r="J159" s="38" t="str">
        <f t="shared" si="2"/>
        <v/>
      </c>
      <c r="K159" s="70"/>
    </row>
    <row r="160" customHeight="1" spans="1:11">
      <c r="A160" s="51"/>
      <c r="B160" s="31"/>
      <c r="C160" s="31"/>
      <c r="D160" s="31"/>
      <c r="E160" s="31"/>
      <c r="F160" s="71" t="str">
        <f>IFERROR(VLOOKUP(E160,日报!E:F,2,0),"")</f>
        <v/>
      </c>
      <c r="G160" s="31"/>
      <c r="H160" s="72" t="str">
        <f>IFERROR(VLOOKUP(E160,日报!E:H,4,0),"")</f>
        <v/>
      </c>
      <c r="I160" s="37" t="str">
        <f>IFERROR(VLOOKUP(E160,日报!E:G,4,0),"")</f>
        <v/>
      </c>
      <c r="J160" s="38" t="str">
        <f t="shared" si="2"/>
        <v/>
      </c>
      <c r="K160" s="70"/>
    </row>
    <row r="161" customHeight="1" spans="1:11">
      <c r="A161" s="51"/>
      <c r="B161" s="31"/>
      <c r="C161" s="31"/>
      <c r="D161" s="31"/>
      <c r="E161" s="31"/>
      <c r="F161" s="71" t="str">
        <f>IFERROR(VLOOKUP(E161,日报!E:F,2,0),"")</f>
        <v/>
      </c>
      <c r="G161" s="31"/>
      <c r="H161" s="72" t="str">
        <f>IFERROR(VLOOKUP(E161,日报!E:H,4,0),"")</f>
        <v/>
      </c>
      <c r="I161" s="37" t="str">
        <f>IFERROR(VLOOKUP(E161,日报!E:G,4,0),"")</f>
        <v/>
      </c>
      <c r="J161" s="38" t="str">
        <f t="shared" si="2"/>
        <v/>
      </c>
      <c r="K161" s="70"/>
    </row>
    <row r="162" customHeight="1" spans="1:11">
      <c r="A162" s="51"/>
      <c r="B162" s="31"/>
      <c r="C162" s="31"/>
      <c r="D162" s="31"/>
      <c r="E162" s="31"/>
      <c r="F162" s="71" t="str">
        <f>IFERROR(VLOOKUP(E162,日报!E:F,2,0),"")</f>
        <v/>
      </c>
      <c r="G162" s="31"/>
      <c r="H162" s="72" t="str">
        <f>IFERROR(VLOOKUP(E162,日报!E:H,4,0),"")</f>
        <v/>
      </c>
      <c r="I162" s="37" t="str">
        <f>IFERROR(VLOOKUP(E162,日报!E:G,4,0),"")</f>
        <v/>
      </c>
      <c r="J162" s="38" t="str">
        <f t="shared" si="2"/>
        <v/>
      </c>
      <c r="K162" s="70"/>
    </row>
    <row r="163" customHeight="1" spans="1:11">
      <c r="A163" s="51"/>
      <c r="B163" s="31"/>
      <c r="C163" s="31"/>
      <c r="D163" s="31"/>
      <c r="E163" s="31"/>
      <c r="F163" s="71" t="str">
        <f>IFERROR(VLOOKUP(E163,日报!E:F,2,0),"")</f>
        <v/>
      </c>
      <c r="G163" s="31"/>
      <c r="H163" s="72" t="str">
        <f>IFERROR(VLOOKUP(E163,日报!E:H,4,0),"")</f>
        <v/>
      </c>
      <c r="I163" s="37" t="str">
        <f>IFERROR(VLOOKUP(E163,日报!E:G,4,0),"")</f>
        <v/>
      </c>
      <c r="J163" s="38" t="str">
        <f t="shared" si="2"/>
        <v/>
      </c>
      <c r="K163" s="70"/>
    </row>
    <row r="164" customHeight="1" spans="1:11">
      <c r="A164" s="51"/>
      <c r="B164" s="31"/>
      <c r="C164" s="31"/>
      <c r="D164" s="31"/>
      <c r="E164" s="31"/>
      <c r="F164" s="71" t="str">
        <f>IFERROR(VLOOKUP(E164,日报!E:F,2,0),"")</f>
        <v/>
      </c>
      <c r="G164" s="31"/>
      <c r="H164" s="72" t="str">
        <f>IFERROR(VLOOKUP(E164,日报!E:H,4,0),"")</f>
        <v/>
      </c>
      <c r="I164" s="37" t="str">
        <f>IFERROR(VLOOKUP(E164,日报!E:G,4,0),"")</f>
        <v/>
      </c>
      <c r="J164" s="38" t="str">
        <f t="shared" si="2"/>
        <v/>
      </c>
      <c r="K164" s="70"/>
    </row>
    <row r="165" customHeight="1" spans="1:11">
      <c r="A165" s="51"/>
      <c r="B165" s="31"/>
      <c r="C165" s="31"/>
      <c r="D165" s="31"/>
      <c r="E165" s="31"/>
      <c r="F165" s="71" t="str">
        <f>IFERROR(VLOOKUP(E165,日报!E:F,2,0),"")</f>
        <v/>
      </c>
      <c r="G165" s="31"/>
      <c r="H165" s="72" t="str">
        <f>IFERROR(VLOOKUP(E165,日报!E:H,4,0),"")</f>
        <v/>
      </c>
      <c r="I165" s="37" t="str">
        <f>IFERROR(VLOOKUP(E165,日报!E:G,4,0),"")</f>
        <v/>
      </c>
      <c r="J165" s="38" t="str">
        <f t="shared" si="2"/>
        <v/>
      </c>
      <c r="K165" s="70"/>
    </row>
    <row r="166" customHeight="1" spans="1:11">
      <c r="A166" s="51"/>
      <c r="B166" s="31"/>
      <c r="C166" s="31"/>
      <c r="D166" s="31"/>
      <c r="E166" s="31"/>
      <c r="F166" s="71" t="str">
        <f>IFERROR(VLOOKUP(E166,日报!E:F,2,0),"")</f>
        <v/>
      </c>
      <c r="G166" s="31"/>
      <c r="H166" s="72" t="str">
        <f>IFERROR(VLOOKUP(E166,日报!E:H,4,0),"")</f>
        <v/>
      </c>
      <c r="I166" s="37" t="str">
        <f>IFERROR(VLOOKUP(E166,日报!E:G,4,0),"")</f>
        <v/>
      </c>
      <c r="J166" s="38" t="str">
        <f t="shared" si="2"/>
        <v/>
      </c>
      <c r="K166" s="70"/>
    </row>
    <row r="167" customHeight="1" spans="1:11">
      <c r="A167" s="51"/>
      <c r="B167" s="31"/>
      <c r="C167" s="31"/>
      <c r="D167" s="31"/>
      <c r="E167" s="31"/>
      <c r="F167" s="71" t="str">
        <f>IFERROR(VLOOKUP(E167,日报!E:F,2,0),"")</f>
        <v/>
      </c>
      <c r="G167" s="31"/>
      <c r="H167" s="72" t="str">
        <f>IFERROR(VLOOKUP(E167,日报!E:H,4,0),"")</f>
        <v/>
      </c>
      <c r="I167" s="37" t="str">
        <f>IFERROR(VLOOKUP(E167,日报!E:G,4,0),"")</f>
        <v/>
      </c>
      <c r="J167" s="38" t="str">
        <f t="shared" si="2"/>
        <v/>
      </c>
      <c r="K167" s="70"/>
    </row>
    <row r="168" customHeight="1" spans="1:11">
      <c r="A168" s="51"/>
      <c r="B168" s="31"/>
      <c r="C168" s="31"/>
      <c r="D168" s="31"/>
      <c r="E168" s="31"/>
      <c r="F168" s="71" t="str">
        <f>IFERROR(VLOOKUP(E168,日报!E:F,2,0),"")</f>
        <v/>
      </c>
      <c r="G168" s="31"/>
      <c r="H168" s="72" t="str">
        <f>IFERROR(VLOOKUP(E168,日报!E:H,4,0),"")</f>
        <v/>
      </c>
      <c r="I168" s="37" t="str">
        <f>IFERROR(VLOOKUP(E168,日报!E:G,4,0),"")</f>
        <v/>
      </c>
      <c r="J168" s="38" t="str">
        <f t="shared" si="2"/>
        <v/>
      </c>
      <c r="K168" s="70"/>
    </row>
    <row r="169" customHeight="1" spans="1:11">
      <c r="A169" s="51"/>
      <c r="B169" s="31"/>
      <c r="C169" s="31"/>
      <c r="D169" s="31"/>
      <c r="E169" s="31"/>
      <c r="F169" s="71" t="str">
        <f>IFERROR(VLOOKUP(E169,日报!E:F,2,0),"")</f>
        <v/>
      </c>
      <c r="G169" s="31"/>
      <c r="H169" s="72" t="str">
        <f>IFERROR(VLOOKUP(E169,日报!E:H,4,0),"")</f>
        <v/>
      </c>
      <c r="I169" s="37" t="str">
        <f>IFERROR(VLOOKUP(E169,日报!E:G,4,0),"")</f>
        <v/>
      </c>
      <c r="J169" s="38" t="str">
        <f t="shared" si="2"/>
        <v/>
      </c>
      <c r="K169" s="70"/>
    </row>
    <row r="170" customHeight="1" spans="1:11">
      <c r="A170" s="51"/>
      <c r="B170" s="31"/>
      <c r="C170" s="31"/>
      <c r="D170" s="31"/>
      <c r="E170" s="31"/>
      <c r="F170" s="71" t="str">
        <f>IFERROR(VLOOKUP(E170,日报!E:F,2,0),"")</f>
        <v/>
      </c>
      <c r="G170" s="31"/>
      <c r="H170" s="72" t="str">
        <f>IFERROR(VLOOKUP(E170,日报!E:H,4,0),"")</f>
        <v/>
      </c>
      <c r="I170" s="37" t="str">
        <f>IFERROR(VLOOKUP(E170,日报!E:G,4,0),"")</f>
        <v/>
      </c>
      <c r="J170" s="38" t="str">
        <f t="shared" si="2"/>
        <v/>
      </c>
      <c r="K170" s="70"/>
    </row>
    <row r="171" customHeight="1" spans="1:11">
      <c r="A171" s="51"/>
      <c r="B171" s="31"/>
      <c r="C171" s="31"/>
      <c r="D171" s="31"/>
      <c r="E171" s="31"/>
      <c r="F171" s="71" t="str">
        <f>IFERROR(VLOOKUP(E171,日报!E:F,2,0),"")</f>
        <v/>
      </c>
      <c r="G171" s="31"/>
      <c r="H171" s="72" t="str">
        <f>IFERROR(VLOOKUP(E171,日报!E:H,4,0),"")</f>
        <v/>
      </c>
      <c r="I171" s="37" t="str">
        <f>IFERROR(VLOOKUP(E171,日报!E:G,4,0),"")</f>
        <v/>
      </c>
      <c r="J171" s="38" t="str">
        <f t="shared" si="2"/>
        <v/>
      </c>
      <c r="K171" s="70"/>
    </row>
    <row r="172" customHeight="1" spans="1:11">
      <c r="A172" s="51"/>
      <c r="B172" s="31"/>
      <c r="C172" s="31"/>
      <c r="D172" s="31"/>
      <c r="E172" s="31"/>
      <c r="F172" s="71" t="str">
        <f>IFERROR(VLOOKUP(E172,日报!E:F,2,0),"")</f>
        <v/>
      </c>
      <c r="G172" s="31"/>
      <c r="H172" s="72" t="str">
        <f>IFERROR(VLOOKUP(E172,日报!E:H,4,0),"")</f>
        <v/>
      </c>
      <c r="I172" s="37" t="str">
        <f>IFERROR(VLOOKUP(E172,日报!E:G,4,0),"")</f>
        <v/>
      </c>
      <c r="J172" s="38" t="str">
        <f t="shared" si="2"/>
        <v/>
      </c>
      <c r="K172" s="70"/>
    </row>
    <row r="173" customHeight="1" spans="1:11">
      <c r="A173" s="51"/>
      <c r="B173" s="31"/>
      <c r="C173" s="31"/>
      <c r="D173" s="31"/>
      <c r="E173" s="31"/>
      <c r="F173" s="71" t="str">
        <f>IFERROR(VLOOKUP(E173,日报!E:F,2,0),"")</f>
        <v/>
      </c>
      <c r="G173" s="31"/>
      <c r="H173" s="72" t="str">
        <f>IFERROR(VLOOKUP(E173,日报!E:H,4,0),"")</f>
        <v/>
      </c>
      <c r="I173" s="37" t="str">
        <f>IFERROR(VLOOKUP(E173,日报!E:G,4,0),"")</f>
        <v/>
      </c>
      <c r="J173" s="38" t="str">
        <f t="shared" si="2"/>
        <v/>
      </c>
      <c r="K173" s="70"/>
    </row>
    <row r="174" customHeight="1" spans="1:11">
      <c r="A174" s="51"/>
      <c r="B174" s="31"/>
      <c r="C174" s="31"/>
      <c r="D174" s="31"/>
      <c r="E174" s="31"/>
      <c r="F174" s="71" t="str">
        <f>IFERROR(VLOOKUP(E174,日报!E:F,2,0),"")</f>
        <v/>
      </c>
      <c r="G174" s="31"/>
      <c r="H174" s="72" t="str">
        <f>IFERROR(VLOOKUP(E174,日报!E:H,4,0),"")</f>
        <v/>
      </c>
      <c r="I174" s="37" t="str">
        <f>IFERROR(VLOOKUP(E174,日报!E:G,4,0),"")</f>
        <v/>
      </c>
      <c r="J174" s="38" t="str">
        <f t="shared" si="2"/>
        <v/>
      </c>
      <c r="K174" s="70"/>
    </row>
    <row r="175" customHeight="1" spans="1:11">
      <c r="A175" s="51"/>
      <c r="B175" s="31"/>
      <c r="C175" s="31"/>
      <c r="D175" s="31"/>
      <c r="E175" s="31"/>
      <c r="F175" s="71" t="str">
        <f>IFERROR(VLOOKUP(E175,日报!E:F,2,0),"")</f>
        <v/>
      </c>
      <c r="G175" s="31"/>
      <c r="H175" s="72" t="str">
        <f>IFERROR(VLOOKUP(E175,日报!E:H,4,0),"")</f>
        <v/>
      </c>
      <c r="I175" s="37" t="str">
        <f>IFERROR(VLOOKUP(E175,日报!E:G,4,0),"")</f>
        <v/>
      </c>
      <c r="J175" s="38" t="str">
        <f t="shared" si="2"/>
        <v/>
      </c>
      <c r="K175" s="70"/>
    </row>
    <row r="176" customHeight="1" spans="1:11">
      <c r="A176" s="51"/>
      <c r="B176" s="31"/>
      <c r="C176" s="31"/>
      <c r="D176" s="31"/>
      <c r="E176" s="31"/>
      <c r="F176" s="71" t="str">
        <f>IFERROR(VLOOKUP(E176,日报!E:F,2,0),"")</f>
        <v/>
      </c>
      <c r="G176" s="31"/>
      <c r="H176" s="72" t="str">
        <f>IFERROR(VLOOKUP(E176,日报!E:H,4,0),"")</f>
        <v/>
      </c>
      <c r="I176" s="37" t="str">
        <f>IFERROR(VLOOKUP(E176,日报!E:G,4,0),"")</f>
        <v/>
      </c>
      <c r="J176" s="38" t="str">
        <f t="shared" si="2"/>
        <v/>
      </c>
      <c r="K176" s="70"/>
    </row>
    <row r="177" customHeight="1" spans="1:11">
      <c r="A177" s="51"/>
      <c r="B177" s="31"/>
      <c r="C177" s="31"/>
      <c r="D177" s="31"/>
      <c r="E177" s="31"/>
      <c r="F177" s="71" t="str">
        <f>IFERROR(VLOOKUP(E177,日报!E:F,2,0),"")</f>
        <v/>
      </c>
      <c r="G177" s="31"/>
      <c r="H177" s="72" t="str">
        <f>IFERROR(VLOOKUP(E177,日报!E:H,4,0),"")</f>
        <v/>
      </c>
      <c r="I177" s="37" t="str">
        <f>IFERROR(VLOOKUP(E177,日报!E:G,4,0),"")</f>
        <v/>
      </c>
      <c r="J177" s="38" t="str">
        <f t="shared" si="2"/>
        <v/>
      </c>
      <c r="K177" s="70"/>
    </row>
    <row r="178" customHeight="1" spans="1:11">
      <c r="A178" s="51"/>
      <c r="B178" s="31"/>
      <c r="C178" s="31"/>
      <c r="D178" s="31"/>
      <c r="E178" s="8"/>
      <c r="F178" s="71" t="str">
        <f>IFERROR(VLOOKUP(E178,日报!E:F,2,0),"")</f>
        <v/>
      </c>
      <c r="G178" s="31"/>
      <c r="H178" s="72" t="str">
        <f>IFERROR(VLOOKUP(E178,日报!E:H,4,0),"")</f>
        <v/>
      </c>
      <c r="I178" s="37" t="str">
        <f>IFERROR(VLOOKUP(E178,日报!E:G,4,0),"")</f>
        <v/>
      </c>
      <c r="J178" s="38" t="str">
        <f t="shared" si="2"/>
        <v/>
      </c>
      <c r="K178" s="70"/>
    </row>
    <row r="179" customHeight="1" spans="1:11">
      <c r="A179" s="51"/>
      <c r="B179" s="31"/>
      <c r="C179" s="31"/>
      <c r="D179" s="31"/>
      <c r="E179" s="31"/>
      <c r="F179" s="71" t="str">
        <f>IFERROR(VLOOKUP(E179,日报!E:F,2,0),"")</f>
        <v/>
      </c>
      <c r="G179" s="31"/>
      <c r="H179" s="72" t="str">
        <f>IFERROR(VLOOKUP(E179,日报!E:H,4,0),"")</f>
        <v/>
      </c>
      <c r="I179" s="37" t="str">
        <f>IFERROR(VLOOKUP(E179,日报!E:G,4,0),"")</f>
        <v/>
      </c>
      <c r="J179" s="38" t="str">
        <f t="shared" si="2"/>
        <v/>
      </c>
      <c r="K179" s="70"/>
    </row>
    <row r="180" customHeight="1" spans="1:11">
      <c r="A180" s="51"/>
      <c r="B180" s="31"/>
      <c r="C180" s="31"/>
      <c r="D180" s="31"/>
      <c r="E180" s="31"/>
      <c r="F180" s="71" t="str">
        <f>IFERROR(VLOOKUP(E180,日报!E:F,2,0),"")</f>
        <v/>
      </c>
      <c r="G180" s="31"/>
      <c r="H180" s="72" t="str">
        <f>IFERROR(VLOOKUP(E180,日报!E:H,4,0),"")</f>
        <v/>
      </c>
      <c r="I180" s="37" t="str">
        <f>IFERROR(VLOOKUP(E180,日报!E:G,4,0),"")</f>
        <v/>
      </c>
      <c r="J180" s="38" t="str">
        <f t="shared" si="2"/>
        <v/>
      </c>
      <c r="K180" s="70"/>
    </row>
    <row r="181" customHeight="1" spans="1:11">
      <c r="A181" s="51"/>
      <c r="B181" s="31"/>
      <c r="C181" s="31"/>
      <c r="D181" s="31"/>
      <c r="E181" s="31"/>
      <c r="F181" s="71" t="str">
        <f>IFERROR(VLOOKUP(E181,日报!E:F,2,0),"")</f>
        <v/>
      </c>
      <c r="G181" s="31"/>
      <c r="H181" s="72" t="str">
        <f>IFERROR(VLOOKUP(E181,日报!E:H,4,0),"")</f>
        <v/>
      </c>
      <c r="I181" s="37" t="str">
        <f>IFERROR(VLOOKUP(E181,日报!E:G,4,0),"")</f>
        <v/>
      </c>
      <c r="J181" s="38" t="str">
        <f t="shared" si="2"/>
        <v/>
      </c>
      <c r="K181" s="70"/>
    </row>
    <row r="182" customHeight="1" spans="1:11">
      <c r="A182" s="51"/>
      <c r="B182" s="31"/>
      <c r="C182" s="31"/>
      <c r="D182" s="31"/>
      <c r="E182" s="31"/>
      <c r="F182" s="71" t="str">
        <f>IFERROR(VLOOKUP(E182,日报!E:F,2,0),"")</f>
        <v/>
      </c>
      <c r="G182" s="31"/>
      <c r="H182" s="72" t="str">
        <f>IFERROR(VLOOKUP(E182,日报!E:H,4,0),"")</f>
        <v/>
      </c>
      <c r="I182" s="37" t="str">
        <f>IFERROR(VLOOKUP(E182,日报!E:G,4,0),"")</f>
        <v/>
      </c>
      <c r="J182" s="38" t="str">
        <f t="shared" si="2"/>
        <v/>
      </c>
      <c r="K182" s="70"/>
    </row>
    <row r="183" customHeight="1" spans="1:11">
      <c r="A183" s="51"/>
      <c r="B183" s="31"/>
      <c r="C183" s="31"/>
      <c r="D183" s="31"/>
      <c r="E183" s="31"/>
      <c r="F183" s="71" t="str">
        <f>IFERROR(VLOOKUP(E183,日报!E:F,2,0),"")</f>
        <v/>
      </c>
      <c r="G183" s="31"/>
      <c r="H183" s="72" t="str">
        <f>IFERROR(VLOOKUP(E183,日报!E:H,4,0),"")</f>
        <v/>
      </c>
      <c r="I183" s="37" t="str">
        <f>IFERROR(VLOOKUP(E183,日报!E:G,4,0),"")</f>
        <v/>
      </c>
      <c r="J183" s="38" t="str">
        <f t="shared" si="2"/>
        <v/>
      </c>
      <c r="K183" s="70"/>
    </row>
    <row r="184" customHeight="1" spans="1:11">
      <c r="A184" s="51"/>
      <c r="B184" s="31"/>
      <c r="C184" s="31"/>
      <c r="D184" s="31"/>
      <c r="E184" s="31"/>
      <c r="F184" s="71" t="str">
        <f>IFERROR(VLOOKUP(E184,日报!E:F,2,0),"")</f>
        <v/>
      </c>
      <c r="G184" s="31"/>
      <c r="H184" s="72" t="str">
        <f>IFERROR(VLOOKUP(E184,日报!E:H,4,0),"")</f>
        <v/>
      </c>
      <c r="I184" s="37" t="str">
        <f>IFERROR(VLOOKUP(E184,日报!E:G,4,0),"")</f>
        <v/>
      </c>
      <c r="J184" s="38" t="str">
        <f t="shared" si="2"/>
        <v/>
      </c>
      <c r="K184" s="70"/>
    </row>
    <row r="185" customHeight="1" spans="1:11">
      <c r="A185" s="51"/>
      <c r="B185" s="31"/>
      <c r="C185" s="31"/>
      <c r="D185" s="31"/>
      <c r="E185" s="31"/>
      <c r="F185" s="71" t="str">
        <f>IFERROR(VLOOKUP(E185,日报!E:F,2,0),"")</f>
        <v/>
      </c>
      <c r="G185" s="31"/>
      <c r="H185" s="72" t="str">
        <f>IFERROR(VLOOKUP(E185,日报!E:H,4,0),"")</f>
        <v/>
      </c>
      <c r="I185" s="37" t="str">
        <f>IFERROR(VLOOKUP(E185,日报!E:G,4,0),"")</f>
        <v/>
      </c>
      <c r="J185" s="38" t="str">
        <f t="shared" si="2"/>
        <v/>
      </c>
      <c r="K185" s="70"/>
    </row>
    <row r="186" customHeight="1" spans="1:11">
      <c r="A186" s="51"/>
      <c r="B186" s="31"/>
      <c r="C186" s="31"/>
      <c r="D186" s="31"/>
      <c r="E186" s="31"/>
      <c r="F186" s="71" t="str">
        <f>IFERROR(VLOOKUP(E186,日报!E:F,2,0),"")</f>
        <v/>
      </c>
      <c r="G186" s="31"/>
      <c r="H186" s="72" t="str">
        <f>IFERROR(VLOOKUP(E186,日报!E:H,4,0),"")</f>
        <v/>
      </c>
      <c r="I186" s="37" t="str">
        <f>IFERROR(VLOOKUP(E186,日报!E:G,4,0),"")</f>
        <v/>
      </c>
      <c r="J186" s="38" t="str">
        <f t="shared" si="2"/>
        <v/>
      </c>
      <c r="K186" s="70"/>
    </row>
    <row r="187" customHeight="1" spans="1:11">
      <c r="A187" s="51"/>
      <c r="B187" s="31"/>
      <c r="C187" s="31"/>
      <c r="D187" s="31"/>
      <c r="E187" s="31"/>
      <c r="F187" s="71" t="str">
        <f>IFERROR(VLOOKUP(E187,日报!E:F,2,0),"")</f>
        <v/>
      </c>
      <c r="G187" s="31"/>
      <c r="H187" s="72" t="str">
        <f>IFERROR(VLOOKUP(E187,日报!E:H,4,0),"")</f>
        <v/>
      </c>
      <c r="I187" s="37" t="str">
        <f>IFERROR(VLOOKUP(E187,日报!E:G,4,0),"")</f>
        <v/>
      </c>
      <c r="J187" s="38" t="str">
        <f t="shared" si="2"/>
        <v/>
      </c>
      <c r="K187" s="70"/>
    </row>
    <row r="188" customHeight="1" spans="1:11">
      <c r="A188" s="51"/>
      <c r="B188" s="31"/>
      <c r="C188" s="31"/>
      <c r="D188" s="31"/>
      <c r="E188" s="31"/>
      <c r="F188" s="71" t="str">
        <f>IFERROR(VLOOKUP(E188,日报!E:F,2,0),"")</f>
        <v/>
      </c>
      <c r="G188" s="31"/>
      <c r="H188" s="72" t="str">
        <f>IFERROR(VLOOKUP(E188,日报!E:H,4,0),"")</f>
        <v/>
      </c>
      <c r="I188" s="37" t="str">
        <f>IFERROR(VLOOKUP(E188,日报!E:G,4,0),"")</f>
        <v/>
      </c>
      <c r="J188" s="38" t="str">
        <f t="shared" si="2"/>
        <v/>
      </c>
      <c r="K188" s="70"/>
    </row>
    <row r="189" customHeight="1" spans="1:11">
      <c r="A189" s="51"/>
      <c r="B189" s="31"/>
      <c r="C189" s="31"/>
      <c r="D189" s="31"/>
      <c r="E189" s="31"/>
      <c r="F189" s="71" t="str">
        <f>IFERROR(VLOOKUP(E189,日报!E:F,2,0),"")</f>
        <v/>
      </c>
      <c r="G189" s="31"/>
      <c r="H189" s="72" t="str">
        <f>IFERROR(VLOOKUP(E189,日报!E:H,4,0),"")</f>
        <v/>
      </c>
      <c r="I189" s="37" t="str">
        <f>IFERROR(VLOOKUP(E189,日报!E:G,4,0),"")</f>
        <v/>
      </c>
      <c r="J189" s="38" t="str">
        <f t="shared" si="2"/>
        <v/>
      </c>
      <c r="K189" s="70"/>
    </row>
    <row r="190" customHeight="1" spans="1:11">
      <c r="A190" s="51"/>
      <c r="B190" s="31"/>
      <c r="C190" s="31"/>
      <c r="D190" s="31"/>
      <c r="E190" s="31"/>
      <c r="F190" s="71" t="str">
        <f>IFERROR(VLOOKUP(E190,日报!E:F,2,0),"")</f>
        <v/>
      </c>
      <c r="G190" s="31"/>
      <c r="H190" s="72" t="str">
        <f>IFERROR(VLOOKUP(E190,日报!E:H,4,0),"")</f>
        <v/>
      </c>
      <c r="I190" s="37" t="str">
        <f>IFERROR(VLOOKUP(E190,日报!E:G,4,0),"")</f>
        <v/>
      </c>
      <c r="J190" s="38" t="str">
        <f t="shared" si="2"/>
        <v/>
      </c>
      <c r="K190" s="70"/>
    </row>
    <row r="191" customHeight="1" spans="1:11">
      <c r="A191" s="51"/>
      <c r="B191" s="31"/>
      <c r="C191" s="31"/>
      <c r="D191" s="31"/>
      <c r="E191" s="31"/>
      <c r="F191" s="71" t="str">
        <f>IFERROR(VLOOKUP(E191,日报!E:F,2,0),"")</f>
        <v/>
      </c>
      <c r="G191" s="31"/>
      <c r="H191" s="72" t="str">
        <f>IFERROR(VLOOKUP(E191,日报!E:H,4,0),"")</f>
        <v/>
      </c>
      <c r="I191" s="37" t="str">
        <f>IFERROR(VLOOKUP(E191,日报!E:G,4,0),"")</f>
        <v/>
      </c>
      <c r="J191" s="38" t="str">
        <f t="shared" si="2"/>
        <v/>
      </c>
      <c r="K191" s="70"/>
    </row>
    <row r="192" customHeight="1" spans="1:11">
      <c r="A192" s="51"/>
      <c r="B192" s="31"/>
      <c r="C192" s="31"/>
      <c r="D192" s="31"/>
      <c r="E192" s="31"/>
      <c r="F192" s="71" t="str">
        <f>IFERROR(VLOOKUP(E192,日报!E:F,2,0),"")</f>
        <v/>
      </c>
      <c r="G192" s="31"/>
      <c r="H192" s="72" t="str">
        <f>IFERROR(VLOOKUP(E192,日报!E:H,4,0),"")</f>
        <v/>
      </c>
      <c r="I192" s="37" t="str">
        <f>IFERROR(VLOOKUP(E192,日报!E:G,4,0),"")</f>
        <v/>
      </c>
      <c r="J192" s="38" t="str">
        <f t="shared" si="2"/>
        <v/>
      </c>
      <c r="K192" s="70"/>
    </row>
    <row r="193" customHeight="1" spans="1:11">
      <c r="A193" s="51"/>
      <c r="B193" s="31"/>
      <c r="C193" s="31"/>
      <c r="D193" s="31"/>
      <c r="E193" s="31"/>
      <c r="F193" s="71" t="str">
        <f>IFERROR(VLOOKUP(E193,日报!E:F,2,0),"")</f>
        <v/>
      </c>
      <c r="G193" s="31"/>
      <c r="H193" s="72" t="str">
        <f>IFERROR(VLOOKUP(E193,日报!E:H,4,0),"")</f>
        <v/>
      </c>
      <c r="I193" s="37" t="str">
        <f>IFERROR(VLOOKUP(E193,日报!E:G,4,0),"")</f>
        <v/>
      </c>
      <c r="J193" s="38" t="str">
        <f t="shared" si="2"/>
        <v/>
      </c>
      <c r="K193" s="70"/>
    </row>
    <row r="194" customHeight="1" spans="1:11">
      <c r="A194" s="51"/>
      <c r="B194" s="31"/>
      <c r="C194" s="31"/>
      <c r="D194" s="31"/>
      <c r="E194" s="31"/>
      <c r="F194" s="71" t="str">
        <f>IFERROR(VLOOKUP(E194,日报!E:F,2,0),"")</f>
        <v/>
      </c>
      <c r="G194" s="31"/>
      <c r="H194" s="72" t="str">
        <f>IFERROR(VLOOKUP(E194,日报!E:H,4,0),"")</f>
        <v/>
      </c>
      <c r="I194" s="37" t="str">
        <f>IFERROR(VLOOKUP(E194,日报!E:G,4,0),"")</f>
        <v/>
      </c>
      <c r="J194" s="38" t="str">
        <f t="shared" si="2"/>
        <v/>
      </c>
      <c r="K194" s="70"/>
    </row>
    <row r="195" customHeight="1" spans="1:11">
      <c r="A195" s="51"/>
      <c r="B195" s="31"/>
      <c r="C195" s="31"/>
      <c r="D195" s="31"/>
      <c r="E195" s="31"/>
      <c r="F195" s="71" t="str">
        <f>IFERROR(VLOOKUP(E195,日报!E:F,2,0),"")</f>
        <v/>
      </c>
      <c r="G195" s="31"/>
      <c r="H195" s="72" t="str">
        <f>IFERROR(VLOOKUP(E195,日报!E:H,4,0),"")</f>
        <v/>
      </c>
      <c r="I195" s="37" t="str">
        <f>IFERROR(VLOOKUP(E195,日报!E:G,4,0),"")</f>
        <v/>
      </c>
      <c r="J195" s="38" t="str">
        <f t="shared" si="2"/>
        <v/>
      </c>
      <c r="K195" s="70"/>
    </row>
    <row r="196" customHeight="1" spans="1:11">
      <c r="A196" s="51"/>
      <c r="B196" s="31"/>
      <c r="C196" s="31"/>
      <c r="D196" s="31"/>
      <c r="E196" s="31"/>
      <c r="F196" s="71" t="str">
        <f>IFERROR(VLOOKUP(E196,日报!E:F,2,0),"")</f>
        <v/>
      </c>
      <c r="G196" s="31"/>
      <c r="H196" s="72" t="str">
        <f>IFERROR(VLOOKUP(E196,日报!E:H,4,0),"")</f>
        <v/>
      </c>
      <c r="I196" s="37" t="str">
        <f>IFERROR(VLOOKUP(E196,日报!E:G,4,0),"")</f>
        <v/>
      </c>
      <c r="J196" s="38" t="str">
        <f t="shared" ref="J196:J259" si="3">IFERROR(G196/I196,"")</f>
        <v/>
      </c>
      <c r="K196" s="70"/>
    </row>
    <row r="197" customHeight="1" spans="1:11">
      <c r="A197" s="51"/>
      <c r="B197" s="31"/>
      <c r="C197" s="31"/>
      <c r="D197" s="31"/>
      <c r="E197" s="31"/>
      <c r="F197" s="71" t="str">
        <f>IFERROR(VLOOKUP(E197,日报!E:F,2,0),"")</f>
        <v/>
      </c>
      <c r="G197" s="31"/>
      <c r="H197" s="72" t="str">
        <f>IFERROR(VLOOKUP(E197,日报!E:H,4,0),"")</f>
        <v/>
      </c>
      <c r="I197" s="37" t="str">
        <f>IFERROR(VLOOKUP(E197,日报!E:G,4,0),"")</f>
        <v/>
      </c>
      <c r="J197" s="38" t="str">
        <f t="shared" si="3"/>
        <v/>
      </c>
      <c r="K197" s="70"/>
    </row>
    <row r="198" customHeight="1" spans="1:11">
      <c r="A198" s="51"/>
      <c r="B198" s="31"/>
      <c r="C198" s="31"/>
      <c r="D198" s="31"/>
      <c r="E198" s="31"/>
      <c r="F198" s="71" t="str">
        <f>IFERROR(VLOOKUP(E198,日报!E:F,2,0),"")</f>
        <v/>
      </c>
      <c r="G198" s="31"/>
      <c r="H198" s="72" t="str">
        <f>IFERROR(VLOOKUP(E198,日报!E:H,4,0),"")</f>
        <v/>
      </c>
      <c r="I198" s="37" t="str">
        <f>IFERROR(VLOOKUP(E198,日报!E:G,4,0),"")</f>
        <v/>
      </c>
      <c r="J198" s="38" t="str">
        <f t="shared" si="3"/>
        <v/>
      </c>
      <c r="K198" s="70"/>
    </row>
    <row r="199" customHeight="1" spans="1:11">
      <c r="A199" s="51"/>
      <c r="B199" s="31"/>
      <c r="C199" s="31"/>
      <c r="D199" s="31"/>
      <c r="E199" s="31"/>
      <c r="F199" s="71" t="str">
        <f>IFERROR(VLOOKUP(E199,日报!E:F,2,0),"")</f>
        <v/>
      </c>
      <c r="G199" s="31"/>
      <c r="H199" s="72" t="str">
        <f>IFERROR(VLOOKUP(E199,日报!E:H,4,0),"")</f>
        <v/>
      </c>
      <c r="I199" s="37" t="str">
        <f>IFERROR(VLOOKUP(E199,日报!E:G,4,0),"")</f>
        <v/>
      </c>
      <c r="J199" s="38" t="str">
        <f t="shared" si="3"/>
        <v/>
      </c>
      <c r="K199" s="70"/>
    </row>
    <row r="200" customHeight="1" spans="1:11">
      <c r="A200" s="51"/>
      <c r="B200" s="31"/>
      <c r="C200" s="31"/>
      <c r="D200" s="31"/>
      <c r="E200" s="31"/>
      <c r="F200" s="71" t="str">
        <f>IFERROR(VLOOKUP(E200,日报!E:F,2,0),"")</f>
        <v/>
      </c>
      <c r="G200" s="31"/>
      <c r="H200" s="72" t="str">
        <f>IFERROR(VLOOKUP(E200,日报!E:H,4,0),"")</f>
        <v/>
      </c>
      <c r="I200" s="37" t="str">
        <f>IFERROR(VLOOKUP(E200,日报!E:G,4,0),"")</f>
        <v/>
      </c>
      <c r="J200" s="38" t="str">
        <f t="shared" si="3"/>
        <v/>
      </c>
      <c r="K200" s="70"/>
    </row>
    <row r="201" customHeight="1" spans="1:11">
      <c r="A201" s="51"/>
      <c r="B201" s="31"/>
      <c r="C201" s="31"/>
      <c r="D201" s="31"/>
      <c r="E201" s="31"/>
      <c r="F201" s="71" t="str">
        <f>IFERROR(VLOOKUP(E201,日报!E:F,2,0),"")</f>
        <v/>
      </c>
      <c r="G201" s="31"/>
      <c r="H201" s="72" t="str">
        <f>IFERROR(VLOOKUP(E201,日报!E:H,4,0),"")</f>
        <v/>
      </c>
      <c r="I201" s="37" t="str">
        <f>IFERROR(VLOOKUP(E201,日报!E:G,4,0),"")</f>
        <v/>
      </c>
      <c r="J201" s="38" t="str">
        <f t="shared" si="3"/>
        <v/>
      </c>
      <c r="K201" s="70"/>
    </row>
    <row r="202" customHeight="1" spans="1:11">
      <c r="A202" s="51"/>
      <c r="B202" s="31"/>
      <c r="C202" s="31"/>
      <c r="D202" s="31"/>
      <c r="E202" s="31"/>
      <c r="F202" s="71" t="str">
        <f>IFERROR(VLOOKUP(E202,日报!E:F,2,0),"")</f>
        <v/>
      </c>
      <c r="G202" s="31"/>
      <c r="H202" s="72" t="str">
        <f>IFERROR(VLOOKUP(E202,日报!E:H,4,0),"")</f>
        <v/>
      </c>
      <c r="I202" s="37" t="str">
        <f>IFERROR(VLOOKUP(E202,日报!E:G,4,0),"")</f>
        <v/>
      </c>
      <c r="J202" s="38" t="str">
        <f t="shared" si="3"/>
        <v/>
      </c>
      <c r="K202" s="70"/>
    </row>
    <row r="203" customHeight="1" spans="1:11">
      <c r="A203" s="51"/>
      <c r="B203" s="31"/>
      <c r="C203" s="31"/>
      <c r="D203" s="31"/>
      <c r="E203" s="31"/>
      <c r="F203" s="71" t="str">
        <f>IFERROR(VLOOKUP(E203,日报!E:F,2,0),"")</f>
        <v/>
      </c>
      <c r="G203" s="31"/>
      <c r="H203" s="72" t="str">
        <f>IFERROR(VLOOKUP(E203,日报!E:H,4,0),"")</f>
        <v/>
      </c>
      <c r="I203" s="37" t="str">
        <f>IFERROR(VLOOKUP(E203,日报!E:G,4,0),"")</f>
        <v/>
      </c>
      <c r="J203" s="38" t="str">
        <f t="shared" si="3"/>
        <v/>
      </c>
      <c r="K203" s="70"/>
    </row>
    <row r="204" customHeight="1" spans="1:11">
      <c r="A204" s="51"/>
      <c r="B204" s="31"/>
      <c r="C204" s="31"/>
      <c r="D204" s="31"/>
      <c r="E204" s="31"/>
      <c r="F204" s="71" t="str">
        <f>IFERROR(VLOOKUP(E204,日报!E:F,2,0),"")</f>
        <v/>
      </c>
      <c r="G204" s="31"/>
      <c r="H204" s="72" t="str">
        <f>IFERROR(VLOOKUP(E204,日报!E:H,4,0),"")</f>
        <v/>
      </c>
      <c r="I204" s="37" t="str">
        <f>IFERROR(VLOOKUP(E204,日报!E:G,4,0),"")</f>
        <v/>
      </c>
      <c r="J204" s="38" t="str">
        <f t="shared" si="3"/>
        <v/>
      </c>
      <c r="K204" s="70"/>
    </row>
    <row r="205" customHeight="1" spans="1:11">
      <c r="A205" s="51"/>
      <c r="B205" s="31"/>
      <c r="C205" s="31"/>
      <c r="D205" s="31"/>
      <c r="E205" s="31"/>
      <c r="F205" s="71" t="str">
        <f>IFERROR(VLOOKUP(E205,日报!E:F,2,0),"")</f>
        <v/>
      </c>
      <c r="G205" s="31"/>
      <c r="H205" s="72" t="str">
        <f>IFERROR(VLOOKUP(E205,日报!E:H,4,0),"")</f>
        <v/>
      </c>
      <c r="I205" s="37" t="str">
        <f>IFERROR(VLOOKUP(E205,日报!E:G,4,0),"")</f>
        <v/>
      </c>
      <c r="J205" s="38" t="str">
        <f t="shared" si="3"/>
        <v/>
      </c>
      <c r="K205" s="70"/>
    </row>
    <row r="206" customHeight="1" spans="1:11">
      <c r="A206" s="51"/>
      <c r="B206" s="31"/>
      <c r="C206" s="31"/>
      <c r="D206" s="31"/>
      <c r="E206" s="31"/>
      <c r="F206" s="71" t="str">
        <f>IFERROR(VLOOKUP(E206,日报!E:F,2,0),"")</f>
        <v/>
      </c>
      <c r="G206" s="31"/>
      <c r="H206" s="72" t="str">
        <f>IFERROR(VLOOKUP(E206,日报!E:H,4,0),"")</f>
        <v/>
      </c>
      <c r="I206" s="37" t="str">
        <f>IFERROR(VLOOKUP(E206,日报!E:G,4,0),"")</f>
        <v/>
      </c>
      <c r="J206" s="38" t="str">
        <f t="shared" si="3"/>
        <v/>
      </c>
      <c r="K206" s="70"/>
    </row>
    <row r="207" customHeight="1" spans="1:11">
      <c r="A207" s="51"/>
      <c r="B207" s="31"/>
      <c r="C207" s="31"/>
      <c r="D207" s="31"/>
      <c r="E207" s="31"/>
      <c r="F207" s="71" t="str">
        <f>IFERROR(VLOOKUP(E207,日报!E:F,2,0),"")</f>
        <v/>
      </c>
      <c r="G207" s="31"/>
      <c r="H207" s="72" t="str">
        <f>IFERROR(VLOOKUP(E207,日报!E:H,4,0),"")</f>
        <v/>
      </c>
      <c r="I207" s="37" t="str">
        <f>IFERROR(VLOOKUP(E207,日报!E:G,4,0),"")</f>
        <v/>
      </c>
      <c r="J207" s="38" t="str">
        <f t="shared" si="3"/>
        <v/>
      </c>
      <c r="K207" s="70"/>
    </row>
    <row r="208" customHeight="1" spans="1:11">
      <c r="A208" s="51"/>
      <c r="B208" s="31"/>
      <c r="C208" s="31"/>
      <c r="D208" s="31"/>
      <c r="E208" s="31"/>
      <c r="F208" s="71" t="str">
        <f>IFERROR(VLOOKUP(E208,日报!E:F,2,0),"")</f>
        <v/>
      </c>
      <c r="G208" s="31"/>
      <c r="H208" s="72" t="str">
        <f>IFERROR(VLOOKUP(E208,日报!E:H,4,0),"")</f>
        <v/>
      </c>
      <c r="I208" s="37" t="str">
        <f>IFERROR(VLOOKUP(E208,日报!E:G,4,0),"")</f>
        <v/>
      </c>
      <c r="J208" s="38" t="str">
        <f t="shared" si="3"/>
        <v/>
      </c>
      <c r="K208" s="70"/>
    </row>
    <row r="209" customHeight="1" spans="1:11">
      <c r="A209" s="51"/>
      <c r="B209" s="31"/>
      <c r="C209" s="31"/>
      <c r="D209" s="31"/>
      <c r="E209" s="31"/>
      <c r="F209" s="71" t="str">
        <f>IFERROR(VLOOKUP(E209,日报!E:F,2,0),"")</f>
        <v/>
      </c>
      <c r="G209" s="31"/>
      <c r="H209" s="72" t="str">
        <f>IFERROR(VLOOKUP(E209,日报!E:H,4,0),"")</f>
        <v/>
      </c>
      <c r="I209" s="37" t="str">
        <f>IFERROR(VLOOKUP(E209,日报!E:G,4,0),"")</f>
        <v/>
      </c>
      <c r="J209" s="38" t="str">
        <f t="shared" si="3"/>
        <v/>
      </c>
      <c r="K209" s="70"/>
    </row>
    <row r="210" customHeight="1" spans="1:11">
      <c r="A210" s="51"/>
      <c r="B210" s="31"/>
      <c r="C210" s="31"/>
      <c r="D210" s="31"/>
      <c r="E210" s="31"/>
      <c r="F210" s="71" t="str">
        <f>IFERROR(VLOOKUP(E210,日报!E:F,2,0),"")</f>
        <v/>
      </c>
      <c r="G210" s="31"/>
      <c r="H210" s="72" t="str">
        <f>IFERROR(VLOOKUP(E210,日报!E:H,4,0),"")</f>
        <v/>
      </c>
      <c r="I210" s="37" t="str">
        <f>IFERROR(VLOOKUP(E210,日报!E:G,4,0),"")</f>
        <v/>
      </c>
      <c r="J210" s="38" t="str">
        <f t="shared" si="3"/>
        <v/>
      </c>
      <c r="K210" s="70"/>
    </row>
    <row r="211" customHeight="1" spans="1:11">
      <c r="A211" s="51"/>
      <c r="B211" s="31"/>
      <c r="C211" s="31"/>
      <c r="D211" s="31"/>
      <c r="E211" s="31"/>
      <c r="F211" s="71" t="str">
        <f>IFERROR(VLOOKUP(E211,日报!E:F,2,0),"")</f>
        <v/>
      </c>
      <c r="G211" s="31"/>
      <c r="H211" s="72" t="str">
        <f>IFERROR(VLOOKUP(E211,日报!E:H,4,0),"")</f>
        <v/>
      </c>
      <c r="I211" s="37" t="str">
        <f>IFERROR(VLOOKUP(E211,日报!E:G,4,0),"")</f>
        <v/>
      </c>
      <c r="J211" s="38" t="str">
        <f t="shared" si="3"/>
        <v/>
      </c>
      <c r="K211" s="70"/>
    </row>
    <row r="212" customHeight="1" spans="1:11">
      <c r="A212" s="51"/>
      <c r="B212" s="31"/>
      <c r="C212" s="31"/>
      <c r="D212" s="31"/>
      <c r="E212" s="31"/>
      <c r="F212" s="71" t="str">
        <f>IFERROR(VLOOKUP(E212,日报!E:F,2,0),"")</f>
        <v/>
      </c>
      <c r="G212" s="31"/>
      <c r="H212" s="72" t="str">
        <f>IFERROR(VLOOKUP(E212,日报!E:H,4,0),"")</f>
        <v/>
      </c>
      <c r="I212" s="37" t="str">
        <f>IFERROR(VLOOKUP(E212,日报!E:G,4,0),"")</f>
        <v/>
      </c>
      <c r="J212" s="38" t="str">
        <f t="shared" si="3"/>
        <v/>
      </c>
      <c r="K212" s="70"/>
    </row>
    <row r="213" customHeight="1" spans="1:11">
      <c r="A213" s="51"/>
      <c r="B213" s="31"/>
      <c r="C213" s="31"/>
      <c r="D213" s="31"/>
      <c r="E213" s="31"/>
      <c r="F213" s="71" t="str">
        <f>IFERROR(VLOOKUP(E213,日报!E:F,2,0),"")</f>
        <v/>
      </c>
      <c r="G213" s="31"/>
      <c r="H213" s="72" t="str">
        <f>IFERROR(VLOOKUP(E213,日报!E:H,4,0),"")</f>
        <v/>
      </c>
      <c r="I213" s="37" t="str">
        <f>IFERROR(VLOOKUP(E213,日报!E:G,4,0),"")</f>
        <v/>
      </c>
      <c r="J213" s="38" t="str">
        <f t="shared" si="3"/>
        <v/>
      </c>
      <c r="K213" s="70"/>
    </row>
    <row r="214" customHeight="1" spans="1:11">
      <c r="A214" s="51"/>
      <c r="B214" s="31"/>
      <c r="C214" s="31"/>
      <c r="D214" s="31"/>
      <c r="E214" s="31"/>
      <c r="F214" s="71" t="str">
        <f>IFERROR(VLOOKUP(E214,日报!E:F,2,0),"")</f>
        <v/>
      </c>
      <c r="G214" s="31"/>
      <c r="H214" s="72" t="str">
        <f>IFERROR(VLOOKUP(E214,日报!E:H,4,0),"")</f>
        <v/>
      </c>
      <c r="I214" s="37" t="str">
        <f>IFERROR(VLOOKUP(E214,日报!E:G,4,0),"")</f>
        <v/>
      </c>
      <c r="J214" s="38" t="str">
        <f t="shared" si="3"/>
        <v/>
      </c>
      <c r="K214" s="70"/>
    </row>
    <row r="215" customHeight="1" spans="1:11">
      <c r="A215" s="51"/>
      <c r="B215" s="31"/>
      <c r="C215" s="31"/>
      <c r="D215" s="31"/>
      <c r="E215" s="31"/>
      <c r="F215" s="71" t="str">
        <f>IFERROR(VLOOKUP(E215,日报!E:F,2,0),"")</f>
        <v/>
      </c>
      <c r="G215" s="31"/>
      <c r="H215" s="72" t="str">
        <f>IFERROR(VLOOKUP(E215,日报!E:H,4,0),"")</f>
        <v/>
      </c>
      <c r="I215" s="37" t="str">
        <f>IFERROR(VLOOKUP(E215,日报!E:G,4,0),"")</f>
        <v/>
      </c>
      <c r="J215" s="38" t="str">
        <f t="shared" si="3"/>
        <v/>
      </c>
      <c r="K215" s="70"/>
    </row>
    <row r="216" customHeight="1" spans="1:11">
      <c r="A216" s="51"/>
      <c r="B216" s="31"/>
      <c r="C216" s="31"/>
      <c r="D216" s="31"/>
      <c r="E216" s="31"/>
      <c r="F216" s="71" t="str">
        <f>IFERROR(VLOOKUP(E216,日报!E:F,2,0),"")</f>
        <v/>
      </c>
      <c r="G216" s="31"/>
      <c r="H216" s="72" t="str">
        <f>IFERROR(VLOOKUP(E216,日报!E:H,4,0),"")</f>
        <v/>
      </c>
      <c r="I216" s="37" t="str">
        <f>IFERROR(VLOOKUP(E216,日报!E:G,4,0),"")</f>
        <v/>
      </c>
      <c r="J216" s="38" t="str">
        <f t="shared" si="3"/>
        <v/>
      </c>
      <c r="K216" s="70"/>
    </row>
    <row r="217" customHeight="1" spans="1:11">
      <c r="A217" s="51"/>
      <c r="B217" s="31"/>
      <c r="C217" s="31"/>
      <c r="D217" s="31"/>
      <c r="E217" s="31"/>
      <c r="F217" s="71" t="str">
        <f>IFERROR(VLOOKUP(E217,日报!E:F,2,0),"")</f>
        <v/>
      </c>
      <c r="G217" s="31"/>
      <c r="H217" s="72" t="str">
        <f>IFERROR(VLOOKUP(E217,日报!E:H,4,0),"")</f>
        <v/>
      </c>
      <c r="I217" s="37" t="str">
        <f>IFERROR(VLOOKUP(E217,日报!E:G,4,0),"")</f>
        <v/>
      </c>
      <c r="J217" s="38" t="str">
        <f t="shared" si="3"/>
        <v/>
      </c>
      <c r="K217" s="70"/>
    </row>
    <row r="218" customHeight="1" spans="1:11">
      <c r="A218" s="51"/>
      <c r="B218" s="31"/>
      <c r="C218" s="31"/>
      <c r="D218" s="31"/>
      <c r="E218" s="31"/>
      <c r="F218" s="71" t="str">
        <f>IFERROR(VLOOKUP(E218,日报!E:F,2,0),"")</f>
        <v/>
      </c>
      <c r="G218" s="31"/>
      <c r="H218" s="72" t="str">
        <f>IFERROR(VLOOKUP(E218,日报!E:H,4,0),"")</f>
        <v/>
      </c>
      <c r="I218" s="37" t="str">
        <f>IFERROR(VLOOKUP(E218,日报!E:G,4,0),"")</f>
        <v/>
      </c>
      <c r="J218" s="38" t="str">
        <f t="shared" si="3"/>
        <v/>
      </c>
      <c r="K218" s="70"/>
    </row>
    <row r="219" customHeight="1" spans="1:11">
      <c r="A219" s="51"/>
      <c r="B219" s="31"/>
      <c r="C219" s="31"/>
      <c r="D219" s="31"/>
      <c r="E219" s="31"/>
      <c r="F219" s="71" t="str">
        <f>IFERROR(VLOOKUP(E219,日报!E:F,2,0),"")</f>
        <v/>
      </c>
      <c r="G219" s="31"/>
      <c r="H219" s="72" t="str">
        <f>IFERROR(VLOOKUP(E219,日报!E:H,4,0),"")</f>
        <v/>
      </c>
      <c r="I219" s="37" t="str">
        <f>IFERROR(VLOOKUP(E219,日报!E:G,4,0),"")</f>
        <v/>
      </c>
      <c r="J219" s="38" t="str">
        <f t="shared" si="3"/>
        <v/>
      </c>
      <c r="K219" s="70"/>
    </row>
    <row r="220" customHeight="1" spans="1:11">
      <c r="A220" s="51"/>
      <c r="B220" s="31"/>
      <c r="C220" s="31"/>
      <c r="D220" s="31"/>
      <c r="E220" s="31"/>
      <c r="F220" s="71" t="str">
        <f>IFERROR(VLOOKUP(E220,日报!E:F,2,0),"")</f>
        <v/>
      </c>
      <c r="G220" s="31"/>
      <c r="H220" s="72" t="str">
        <f>IFERROR(VLOOKUP(E220,日报!E:H,4,0),"")</f>
        <v/>
      </c>
      <c r="I220" s="37" t="str">
        <f>IFERROR(VLOOKUP(E220,日报!E:G,4,0),"")</f>
        <v/>
      </c>
      <c r="J220" s="38" t="str">
        <f t="shared" si="3"/>
        <v/>
      </c>
      <c r="K220" s="70"/>
    </row>
    <row r="221" customHeight="1" spans="1:11">
      <c r="A221" s="73"/>
      <c r="B221" s="60"/>
      <c r="C221" s="60"/>
      <c r="D221" s="60"/>
      <c r="E221" s="31"/>
      <c r="F221" s="71" t="str">
        <f>IFERROR(VLOOKUP(E221,日报!E:F,2,0),"")</f>
        <v/>
      </c>
      <c r="G221" s="60"/>
      <c r="H221" s="72" t="str">
        <f>IFERROR(VLOOKUP(E221,日报!E:H,4,0),"")</f>
        <v/>
      </c>
      <c r="I221" s="37" t="str">
        <f>IFERROR(VLOOKUP(E221,日报!E:G,4,0),"")</f>
        <v/>
      </c>
      <c r="J221" s="38" t="str">
        <f t="shared" si="3"/>
        <v/>
      </c>
      <c r="K221" s="74"/>
    </row>
    <row r="222" customHeight="1" spans="1:11">
      <c r="A222" s="73"/>
      <c r="B222" s="60"/>
      <c r="C222" s="60"/>
      <c r="D222" s="60"/>
      <c r="E222" s="31"/>
      <c r="F222" s="71" t="str">
        <f>IFERROR(VLOOKUP(E222,日报!E:F,2,0),"")</f>
        <v/>
      </c>
      <c r="G222" s="60"/>
      <c r="H222" s="72" t="str">
        <f>IFERROR(VLOOKUP(E222,日报!E:H,4,0),"")</f>
        <v/>
      </c>
      <c r="I222" s="37" t="str">
        <f>IFERROR(VLOOKUP(E222,日报!E:G,4,0),"")</f>
        <v/>
      </c>
      <c r="J222" s="38" t="str">
        <f t="shared" si="3"/>
        <v/>
      </c>
      <c r="K222" s="74"/>
    </row>
    <row r="223" customHeight="1" spans="1:11">
      <c r="A223" s="73"/>
      <c r="B223" s="60"/>
      <c r="C223" s="60"/>
      <c r="D223" s="60"/>
      <c r="E223" s="31"/>
      <c r="F223" s="71" t="str">
        <f>IFERROR(VLOOKUP(E223,日报!E:F,2,0),"")</f>
        <v/>
      </c>
      <c r="G223" s="60"/>
      <c r="H223" s="72" t="str">
        <f>IFERROR(VLOOKUP(E223,日报!E:H,4,0),"")</f>
        <v/>
      </c>
      <c r="I223" s="37" t="str">
        <f>IFERROR(VLOOKUP(E223,日报!E:G,4,0),"")</f>
        <v/>
      </c>
      <c r="J223" s="38" t="str">
        <f t="shared" si="3"/>
        <v/>
      </c>
      <c r="K223" s="74"/>
    </row>
    <row r="224" customHeight="1" spans="1:11">
      <c r="A224" s="73"/>
      <c r="B224" s="60"/>
      <c r="C224" s="60"/>
      <c r="D224" s="60"/>
      <c r="E224" s="31"/>
      <c r="F224" s="71" t="str">
        <f>IFERROR(VLOOKUP(E224,日报!E:F,2,0),"")</f>
        <v/>
      </c>
      <c r="G224" s="60"/>
      <c r="H224" s="72" t="str">
        <f>IFERROR(VLOOKUP(E224,日报!E:H,4,0),"")</f>
        <v/>
      </c>
      <c r="I224" s="37" t="str">
        <f>IFERROR(VLOOKUP(E224,日报!E:G,4,0),"")</f>
        <v/>
      </c>
      <c r="J224" s="38" t="str">
        <f t="shared" si="3"/>
        <v/>
      </c>
      <c r="K224" s="74"/>
    </row>
    <row r="225" customHeight="1" spans="1:11">
      <c r="A225" s="73"/>
      <c r="B225" s="60"/>
      <c r="C225" s="60"/>
      <c r="D225" s="60"/>
      <c r="E225" s="31"/>
      <c r="F225" s="71" t="str">
        <f>IFERROR(VLOOKUP(E225,日报!E:F,2,0),"")</f>
        <v/>
      </c>
      <c r="G225" s="60"/>
      <c r="H225" s="72" t="str">
        <f>IFERROR(VLOOKUP(E225,日报!E:H,4,0),"")</f>
        <v/>
      </c>
      <c r="I225" s="37" t="str">
        <f>IFERROR(VLOOKUP(E225,日报!E:G,4,0),"")</f>
        <v/>
      </c>
      <c r="J225" s="38" t="str">
        <f t="shared" si="3"/>
        <v/>
      </c>
      <c r="K225" s="74"/>
    </row>
    <row r="226" customHeight="1" spans="1:11">
      <c r="A226" s="73"/>
      <c r="B226" s="60"/>
      <c r="C226" s="60"/>
      <c r="D226" s="60"/>
      <c r="E226" s="31"/>
      <c r="F226" s="71" t="str">
        <f>IFERROR(VLOOKUP(E226,日报!E:F,2,0),"")</f>
        <v/>
      </c>
      <c r="G226" s="60"/>
      <c r="H226" s="72" t="str">
        <f>IFERROR(VLOOKUP(E226,日报!E:H,4,0),"")</f>
        <v/>
      </c>
      <c r="I226" s="37" t="str">
        <f>IFERROR(VLOOKUP(E226,日报!E:G,4,0),"")</f>
        <v/>
      </c>
      <c r="J226" s="38" t="str">
        <f t="shared" si="3"/>
        <v/>
      </c>
      <c r="K226" s="74"/>
    </row>
    <row r="227" customHeight="1" spans="1:11">
      <c r="A227" s="73"/>
      <c r="B227" s="60"/>
      <c r="C227" s="60"/>
      <c r="D227" s="60"/>
      <c r="E227" s="31"/>
      <c r="F227" s="71" t="str">
        <f>IFERROR(VLOOKUP(E227,日报!E:F,2,0),"")</f>
        <v/>
      </c>
      <c r="G227" s="60"/>
      <c r="H227" s="72" t="str">
        <f>IFERROR(VLOOKUP(E227,日报!E:H,4,0),"")</f>
        <v/>
      </c>
      <c r="I227" s="37" t="str">
        <f>IFERROR(VLOOKUP(E227,日报!E:G,4,0),"")</f>
        <v/>
      </c>
      <c r="J227" s="38" t="str">
        <f t="shared" si="3"/>
        <v/>
      </c>
      <c r="K227" s="74"/>
    </row>
    <row r="228" customHeight="1" spans="1:11">
      <c r="A228" s="73"/>
      <c r="B228" s="60"/>
      <c r="C228" s="60"/>
      <c r="D228" s="60"/>
      <c r="E228" s="31"/>
      <c r="F228" s="71" t="str">
        <f>IFERROR(VLOOKUP(E228,日报!E:F,2,0),"")</f>
        <v/>
      </c>
      <c r="G228" s="60"/>
      <c r="H228" s="72" t="str">
        <f>IFERROR(VLOOKUP(E228,日报!E:H,4,0),"")</f>
        <v/>
      </c>
      <c r="I228" s="37" t="str">
        <f>IFERROR(VLOOKUP(E228,日报!E:G,4,0),"")</f>
        <v/>
      </c>
      <c r="J228" s="38" t="str">
        <f t="shared" si="3"/>
        <v/>
      </c>
      <c r="K228" s="74"/>
    </row>
    <row r="229" customHeight="1" spans="1:11">
      <c r="A229" s="73"/>
      <c r="B229" s="60"/>
      <c r="C229" s="60"/>
      <c r="D229" s="60"/>
      <c r="E229" s="31"/>
      <c r="F229" s="71" t="str">
        <f>IFERROR(VLOOKUP(E229,日报!E:F,2,0),"")</f>
        <v/>
      </c>
      <c r="G229" s="60"/>
      <c r="H229" s="72" t="str">
        <f>IFERROR(VLOOKUP(E229,日报!E:H,4,0),"")</f>
        <v/>
      </c>
      <c r="I229" s="37" t="str">
        <f>IFERROR(VLOOKUP(E229,日报!E:G,4,0),"")</f>
        <v/>
      </c>
      <c r="J229" s="38" t="str">
        <f t="shared" si="3"/>
        <v/>
      </c>
      <c r="K229" s="74"/>
    </row>
    <row r="230" customHeight="1" spans="1:11">
      <c r="A230" s="73"/>
      <c r="B230" s="60"/>
      <c r="C230" s="60"/>
      <c r="D230" s="60"/>
      <c r="E230" s="31"/>
      <c r="F230" s="71" t="str">
        <f>IFERROR(VLOOKUP(E230,日报!E:F,2,0),"")</f>
        <v/>
      </c>
      <c r="G230" s="60"/>
      <c r="H230" s="72" t="str">
        <f>IFERROR(VLOOKUP(E230,日报!E:H,4,0),"")</f>
        <v/>
      </c>
      <c r="I230" s="37" t="str">
        <f>IFERROR(VLOOKUP(E230,日报!E:G,4,0),"")</f>
        <v/>
      </c>
      <c r="J230" s="38" t="str">
        <f t="shared" si="3"/>
        <v/>
      </c>
      <c r="K230" s="74"/>
    </row>
    <row r="231" customHeight="1" spans="1:11">
      <c r="A231" s="73"/>
      <c r="B231" s="60"/>
      <c r="C231" s="60"/>
      <c r="D231" s="60"/>
      <c r="E231" s="31"/>
      <c r="F231" s="71" t="str">
        <f>IFERROR(VLOOKUP(E231,日报!E:F,2,0),"")</f>
        <v/>
      </c>
      <c r="G231" s="60"/>
      <c r="H231" s="72" t="str">
        <f>IFERROR(VLOOKUP(E231,日报!E:H,4,0),"")</f>
        <v/>
      </c>
      <c r="I231" s="37" t="str">
        <f>IFERROR(VLOOKUP(E231,日报!E:G,4,0),"")</f>
        <v/>
      </c>
      <c r="J231" s="38" t="str">
        <f t="shared" si="3"/>
        <v/>
      </c>
      <c r="K231" s="74"/>
    </row>
    <row r="232" customHeight="1" spans="1:11">
      <c r="A232" s="73"/>
      <c r="B232" s="60"/>
      <c r="C232" s="60"/>
      <c r="D232" s="60"/>
      <c r="E232" s="31"/>
      <c r="F232" s="71" t="str">
        <f>IFERROR(VLOOKUP(E232,日报!E:F,2,0),"")</f>
        <v/>
      </c>
      <c r="G232" s="60"/>
      <c r="H232" s="72" t="str">
        <f>IFERROR(VLOOKUP(E232,日报!E:H,4,0),"")</f>
        <v/>
      </c>
      <c r="I232" s="37" t="str">
        <f>IFERROR(VLOOKUP(E232,日报!E:G,4,0),"")</f>
        <v/>
      </c>
      <c r="J232" s="38" t="str">
        <f t="shared" si="3"/>
        <v/>
      </c>
      <c r="K232" s="74"/>
    </row>
    <row r="233" customHeight="1" spans="1:11">
      <c r="A233" s="73"/>
      <c r="B233" s="60"/>
      <c r="C233" s="60"/>
      <c r="D233" s="60"/>
      <c r="E233" s="31"/>
      <c r="F233" s="71" t="str">
        <f>IFERROR(VLOOKUP(E233,日报!E:F,2,0),"")</f>
        <v/>
      </c>
      <c r="G233" s="60"/>
      <c r="H233" s="72" t="str">
        <f>IFERROR(VLOOKUP(E233,日报!E:H,4,0),"")</f>
        <v/>
      </c>
      <c r="I233" s="37" t="str">
        <f>IFERROR(VLOOKUP(E233,日报!E:G,4,0),"")</f>
        <v/>
      </c>
      <c r="J233" s="38" t="str">
        <f t="shared" si="3"/>
        <v/>
      </c>
      <c r="K233" s="74"/>
    </row>
    <row r="234" customHeight="1" spans="1:11">
      <c r="A234" s="73"/>
      <c r="B234" s="60"/>
      <c r="C234" s="60"/>
      <c r="D234" s="60"/>
      <c r="E234" s="31"/>
      <c r="F234" s="71" t="str">
        <f>IFERROR(VLOOKUP(E234,日报!E:F,2,0),"")</f>
        <v/>
      </c>
      <c r="G234" s="60"/>
      <c r="H234" s="72" t="str">
        <f>IFERROR(VLOOKUP(E234,日报!E:H,4,0),"")</f>
        <v/>
      </c>
      <c r="I234" s="37" t="str">
        <f>IFERROR(VLOOKUP(E234,日报!E:G,4,0),"")</f>
        <v/>
      </c>
      <c r="J234" s="38" t="str">
        <f t="shared" si="3"/>
        <v/>
      </c>
      <c r="K234" s="74"/>
    </row>
    <row r="235" customHeight="1" spans="1:11">
      <c r="A235" s="73"/>
      <c r="B235" s="60"/>
      <c r="C235" s="60"/>
      <c r="D235" s="60"/>
      <c r="E235" s="31"/>
      <c r="F235" s="71" t="str">
        <f>IFERROR(VLOOKUP(E235,日报!E:F,2,0),"")</f>
        <v/>
      </c>
      <c r="G235" s="60"/>
      <c r="H235" s="72" t="str">
        <f>IFERROR(VLOOKUP(E235,日报!E:H,4,0),"")</f>
        <v/>
      </c>
      <c r="I235" s="37" t="str">
        <f>IFERROR(VLOOKUP(E235,日报!E:G,4,0),"")</f>
        <v/>
      </c>
      <c r="J235" s="38" t="str">
        <f t="shared" si="3"/>
        <v/>
      </c>
      <c r="K235" s="74"/>
    </row>
    <row r="236" customHeight="1" spans="1:11">
      <c r="A236" s="73"/>
      <c r="B236" s="60"/>
      <c r="C236" s="60"/>
      <c r="D236" s="60"/>
      <c r="E236" s="31"/>
      <c r="F236" s="71" t="str">
        <f>IFERROR(VLOOKUP(E236,日报!E:F,2,0),"")</f>
        <v/>
      </c>
      <c r="G236" s="60"/>
      <c r="H236" s="72" t="str">
        <f>IFERROR(VLOOKUP(E236,日报!E:H,4,0),"")</f>
        <v/>
      </c>
      <c r="I236" s="37" t="str">
        <f>IFERROR(VLOOKUP(E236,日报!E:G,4,0),"")</f>
        <v/>
      </c>
      <c r="J236" s="38" t="str">
        <f t="shared" si="3"/>
        <v/>
      </c>
      <c r="K236" s="74"/>
    </row>
    <row r="237" customHeight="1" spans="1:11">
      <c r="A237" s="73"/>
      <c r="B237" s="60"/>
      <c r="C237" s="60"/>
      <c r="D237" s="60"/>
      <c r="E237" s="31"/>
      <c r="F237" s="71" t="str">
        <f>IFERROR(VLOOKUP(E237,日报!E:F,2,0),"")</f>
        <v/>
      </c>
      <c r="G237" s="60"/>
      <c r="H237" s="72" t="str">
        <f>IFERROR(VLOOKUP(E237,日报!E:H,4,0),"")</f>
        <v/>
      </c>
      <c r="I237" s="37" t="str">
        <f>IFERROR(VLOOKUP(E237,日报!E:G,4,0),"")</f>
        <v/>
      </c>
      <c r="J237" s="38" t="str">
        <f t="shared" si="3"/>
        <v/>
      </c>
      <c r="K237" s="74"/>
    </row>
    <row r="238" customHeight="1" spans="1:11">
      <c r="A238" s="73"/>
      <c r="B238" s="60"/>
      <c r="C238" s="60"/>
      <c r="D238" s="60"/>
      <c r="E238" s="31"/>
      <c r="F238" s="71" t="str">
        <f>IFERROR(VLOOKUP(E238,日报!E:F,2,0),"")</f>
        <v/>
      </c>
      <c r="G238" s="60"/>
      <c r="H238" s="72" t="str">
        <f>IFERROR(VLOOKUP(E238,日报!E:H,4,0),"")</f>
        <v/>
      </c>
      <c r="I238" s="37" t="str">
        <f>IFERROR(VLOOKUP(E238,日报!E:G,4,0),"")</f>
        <v/>
      </c>
      <c r="J238" s="38" t="str">
        <f t="shared" si="3"/>
        <v/>
      </c>
      <c r="K238" s="74"/>
    </row>
    <row r="239" customHeight="1" spans="1:11">
      <c r="A239" s="73"/>
      <c r="B239" s="60"/>
      <c r="C239" s="60"/>
      <c r="D239" s="60"/>
      <c r="E239" s="31"/>
      <c r="F239" s="71" t="str">
        <f>IFERROR(VLOOKUP(E239,日报!E:F,2,0),"")</f>
        <v/>
      </c>
      <c r="G239" s="60"/>
      <c r="H239" s="72" t="str">
        <f>IFERROR(VLOOKUP(E239,日报!E:H,4,0),"")</f>
        <v/>
      </c>
      <c r="I239" s="37" t="str">
        <f>IFERROR(VLOOKUP(E239,日报!E:G,4,0),"")</f>
        <v/>
      </c>
      <c r="J239" s="38" t="str">
        <f t="shared" si="3"/>
        <v/>
      </c>
      <c r="K239" s="74"/>
    </row>
    <row r="240" customHeight="1" spans="1:11">
      <c r="A240" s="73"/>
      <c r="B240" s="60"/>
      <c r="C240" s="60"/>
      <c r="D240" s="60"/>
      <c r="E240" s="31"/>
      <c r="F240" s="71" t="str">
        <f>IFERROR(VLOOKUP(E240,日报!E:F,2,0),"")</f>
        <v/>
      </c>
      <c r="G240" s="60"/>
      <c r="H240" s="72" t="str">
        <f>IFERROR(VLOOKUP(E240,日报!E:H,4,0),"")</f>
        <v/>
      </c>
      <c r="I240" s="37" t="str">
        <f>IFERROR(VLOOKUP(E240,日报!E:G,4,0),"")</f>
        <v/>
      </c>
      <c r="J240" s="38" t="str">
        <f t="shared" si="3"/>
        <v/>
      </c>
      <c r="K240" s="74"/>
    </row>
    <row r="241" customHeight="1" spans="1:11">
      <c r="A241" s="73"/>
      <c r="B241" s="60"/>
      <c r="C241" s="60"/>
      <c r="D241" s="60"/>
      <c r="E241" s="31"/>
      <c r="F241" s="71" t="str">
        <f>IFERROR(VLOOKUP(E241,日报!E:F,2,0),"")</f>
        <v/>
      </c>
      <c r="G241" s="60"/>
      <c r="H241" s="72" t="str">
        <f>IFERROR(VLOOKUP(E241,日报!E:H,4,0),"")</f>
        <v/>
      </c>
      <c r="I241" s="37" t="str">
        <f>IFERROR(VLOOKUP(E241,日报!E:G,4,0),"")</f>
        <v/>
      </c>
      <c r="J241" s="38" t="str">
        <f t="shared" si="3"/>
        <v/>
      </c>
      <c r="K241" s="74"/>
    </row>
    <row r="242" customHeight="1" spans="1:11">
      <c r="A242" s="73"/>
      <c r="B242" s="60"/>
      <c r="C242" s="60"/>
      <c r="D242" s="60"/>
      <c r="E242" s="31"/>
      <c r="F242" s="71" t="str">
        <f>IFERROR(VLOOKUP(E242,日报!E:F,2,0),"")</f>
        <v/>
      </c>
      <c r="G242" s="60"/>
      <c r="H242" s="72" t="str">
        <f>IFERROR(VLOOKUP(E242,日报!E:H,4,0),"")</f>
        <v/>
      </c>
      <c r="I242" s="37" t="str">
        <f>IFERROR(VLOOKUP(E242,日报!E:G,4,0),"")</f>
        <v/>
      </c>
      <c r="J242" s="38" t="str">
        <f t="shared" si="3"/>
        <v/>
      </c>
      <c r="K242" s="74"/>
    </row>
    <row r="243" customHeight="1" spans="1:11">
      <c r="A243" s="73"/>
      <c r="B243" s="60"/>
      <c r="C243" s="60"/>
      <c r="D243" s="60"/>
      <c r="E243" s="31"/>
      <c r="F243" s="71" t="str">
        <f>IFERROR(VLOOKUP(E243,日报!E:F,2,0),"")</f>
        <v/>
      </c>
      <c r="G243" s="60"/>
      <c r="H243" s="72" t="str">
        <f>IFERROR(VLOOKUP(E243,日报!E:H,4,0),"")</f>
        <v/>
      </c>
      <c r="I243" s="37" t="str">
        <f>IFERROR(VLOOKUP(E243,日报!E:G,4,0),"")</f>
        <v/>
      </c>
      <c r="J243" s="38" t="str">
        <f t="shared" si="3"/>
        <v/>
      </c>
      <c r="K243" s="74"/>
    </row>
    <row r="244" customHeight="1" spans="1:11">
      <c r="A244" s="73"/>
      <c r="B244" s="60"/>
      <c r="C244" s="60"/>
      <c r="D244" s="60"/>
      <c r="E244" s="31"/>
      <c r="F244" s="71" t="str">
        <f>IFERROR(VLOOKUP(E244,日报!E:F,2,0),"")</f>
        <v/>
      </c>
      <c r="G244" s="60"/>
      <c r="H244" s="72" t="str">
        <f>IFERROR(VLOOKUP(E244,日报!E:H,4,0),"")</f>
        <v/>
      </c>
      <c r="I244" s="37" t="str">
        <f>IFERROR(VLOOKUP(E244,日报!E:G,4,0),"")</f>
        <v/>
      </c>
      <c r="J244" s="38" t="str">
        <f t="shared" si="3"/>
        <v/>
      </c>
      <c r="K244" s="74"/>
    </row>
    <row r="245" customHeight="1" spans="1:11">
      <c r="A245" s="73"/>
      <c r="B245" s="60"/>
      <c r="C245" s="60"/>
      <c r="D245" s="60"/>
      <c r="E245" s="31"/>
      <c r="F245" s="71" t="str">
        <f>IFERROR(VLOOKUP(E245,日报!E:F,2,0),"")</f>
        <v/>
      </c>
      <c r="G245" s="60"/>
      <c r="H245" s="72" t="str">
        <f>IFERROR(VLOOKUP(E245,日报!E:H,4,0),"")</f>
        <v/>
      </c>
      <c r="I245" s="37" t="str">
        <f>IFERROR(VLOOKUP(E245,日报!E:G,4,0),"")</f>
        <v/>
      </c>
      <c r="J245" s="38" t="str">
        <f t="shared" si="3"/>
        <v/>
      </c>
      <c r="K245" s="74"/>
    </row>
    <row r="246" customHeight="1" spans="1:11">
      <c r="A246" s="73"/>
      <c r="B246" s="60"/>
      <c r="C246" s="60"/>
      <c r="D246" s="60"/>
      <c r="E246" s="31"/>
      <c r="F246" s="71" t="str">
        <f>IFERROR(VLOOKUP(E246,日报!E:F,2,0),"")</f>
        <v/>
      </c>
      <c r="G246" s="60"/>
      <c r="H246" s="72" t="str">
        <f>IFERROR(VLOOKUP(E246,日报!E:H,4,0),"")</f>
        <v/>
      </c>
      <c r="I246" s="37" t="str">
        <f>IFERROR(VLOOKUP(E246,日报!E:G,4,0),"")</f>
        <v/>
      </c>
      <c r="J246" s="38" t="str">
        <f t="shared" si="3"/>
        <v/>
      </c>
      <c r="K246" s="74"/>
    </row>
    <row r="247" customHeight="1" spans="1:11">
      <c r="A247" s="73"/>
      <c r="B247" s="60"/>
      <c r="C247" s="60"/>
      <c r="D247" s="60"/>
      <c r="E247" s="31"/>
      <c r="F247" s="71" t="str">
        <f>IFERROR(VLOOKUP(E247,日报!E:F,2,0),"")</f>
        <v/>
      </c>
      <c r="G247" s="60"/>
      <c r="H247" s="72" t="str">
        <f>IFERROR(VLOOKUP(E247,日报!E:H,4,0),"")</f>
        <v/>
      </c>
      <c r="I247" s="37" t="str">
        <f>IFERROR(VLOOKUP(E247,日报!E:G,4,0),"")</f>
        <v/>
      </c>
      <c r="J247" s="38" t="str">
        <f t="shared" si="3"/>
        <v/>
      </c>
      <c r="K247" s="74"/>
    </row>
    <row r="248" customHeight="1" spans="1:11">
      <c r="A248" s="73"/>
      <c r="B248" s="60"/>
      <c r="C248" s="60"/>
      <c r="D248" s="60"/>
      <c r="E248" s="31"/>
      <c r="F248" s="71" t="str">
        <f>IFERROR(VLOOKUP(E248,日报!E:F,2,0),"")</f>
        <v/>
      </c>
      <c r="G248" s="60"/>
      <c r="H248" s="72" t="str">
        <f>IFERROR(VLOOKUP(E248,日报!E:H,4,0),"")</f>
        <v/>
      </c>
      <c r="I248" s="37" t="str">
        <f>IFERROR(VLOOKUP(E248,日报!E:G,4,0),"")</f>
        <v/>
      </c>
      <c r="J248" s="38" t="str">
        <f t="shared" si="3"/>
        <v/>
      </c>
      <c r="K248" s="74"/>
    </row>
    <row r="249" customHeight="1" spans="1:11">
      <c r="A249" s="73"/>
      <c r="B249" s="60"/>
      <c r="C249" s="60"/>
      <c r="D249" s="60"/>
      <c r="E249" s="31"/>
      <c r="F249" s="71" t="str">
        <f>IFERROR(VLOOKUP(E249,日报!E:F,2,0),"")</f>
        <v/>
      </c>
      <c r="G249" s="60"/>
      <c r="H249" s="72" t="str">
        <f>IFERROR(VLOOKUP(E249,日报!E:H,4,0),"")</f>
        <v/>
      </c>
      <c r="I249" s="37" t="str">
        <f>IFERROR(VLOOKUP(E249,日报!E:G,4,0),"")</f>
        <v/>
      </c>
      <c r="J249" s="38" t="str">
        <f t="shared" si="3"/>
        <v/>
      </c>
      <c r="K249" s="74"/>
    </row>
    <row r="250" customHeight="1" spans="1:11">
      <c r="A250" s="73"/>
      <c r="B250" s="60"/>
      <c r="C250" s="60"/>
      <c r="D250" s="60"/>
      <c r="E250" s="31"/>
      <c r="F250" s="71" t="str">
        <f>IFERROR(VLOOKUP(E250,日报!E:F,2,0),"")</f>
        <v/>
      </c>
      <c r="G250" s="60"/>
      <c r="H250" s="72" t="str">
        <f>IFERROR(VLOOKUP(E250,日报!E:H,4,0),"")</f>
        <v/>
      </c>
      <c r="I250" s="37" t="str">
        <f>IFERROR(VLOOKUP(E250,日报!E:G,4,0),"")</f>
        <v/>
      </c>
      <c r="J250" s="38" t="str">
        <f t="shared" si="3"/>
        <v/>
      </c>
      <c r="K250" s="74"/>
    </row>
    <row r="251" customHeight="1" spans="1:11">
      <c r="A251" s="73"/>
      <c r="B251" s="60"/>
      <c r="C251" s="60"/>
      <c r="D251" s="60"/>
      <c r="E251" s="31"/>
      <c r="F251" s="71" t="str">
        <f>IFERROR(VLOOKUP(E251,日报!E:F,2,0),"")</f>
        <v/>
      </c>
      <c r="G251" s="60"/>
      <c r="H251" s="72" t="str">
        <f>IFERROR(VLOOKUP(E251,日报!E:H,4,0),"")</f>
        <v/>
      </c>
      <c r="I251" s="37" t="str">
        <f>IFERROR(VLOOKUP(E251,日报!E:G,4,0),"")</f>
        <v/>
      </c>
      <c r="J251" s="38" t="str">
        <f t="shared" si="3"/>
        <v/>
      </c>
      <c r="K251" s="74"/>
    </row>
    <row r="252" customHeight="1" spans="1:11">
      <c r="A252" s="73"/>
      <c r="B252" s="60"/>
      <c r="C252" s="60"/>
      <c r="D252" s="60"/>
      <c r="E252" s="31"/>
      <c r="F252" s="71" t="str">
        <f>IFERROR(VLOOKUP(E252,日报!E:F,2,0),"")</f>
        <v/>
      </c>
      <c r="G252" s="60"/>
      <c r="H252" s="72" t="str">
        <f>IFERROR(VLOOKUP(E252,日报!E:H,4,0),"")</f>
        <v/>
      </c>
      <c r="I252" s="37" t="str">
        <f>IFERROR(VLOOKUP(E252,日报!E:G,4,0),"")</f>
        <v/>
      </c>
      <c r="J252" s="38" t="str">
        <f t="shared" si="3"/>
        <v/>
      </c>
      <c r="K252" s="74"/>
    </row>
    <row r="253" customHeight="1" spans="1:11">
      <c r="A253" s="73"/>
      <c r="B253" s="60"/>
      <c r="C253" s="60"/>
      <c r="D253" s="60"/>
      <c r="E253" s="31"/>
      <c r="F253" s="71" t="str">
        <f>IFERROR(VLOOKUP(E253,日报!E:F,2,0),"")</f>
        <v/>
      </c>
      <c r="G253" s="60"/>
      <c r="H253" s="72" t="str">
        <f>IFERROR(VLOOKUP(E253,日报!E:H,4,0),"")</f>
        <v/>
      </c>
      <c r="I253" s="37" t="str">
        <f>IFERROR(VLOOKUP(E253,日报!E:G,4,0),"")</f>
        <v/>
      </c>
      <c r="J253" s="38" t="str">
        <f t="shared" si="3"/>
        <v/>
      </c>
      <c r="K253" s="74"/>
    </row>
    <row r="254" customHeight="1" spans="1:11">
      <c r="A254" s="73"/>
      <c r="B254" s="60"/>
      <c r="C254" s="60"/>
      <c r="D254" s="60"/>
      <c r="E254" s="31"/>
      <c r="F254" s="71" t="str">
        <f>IFERROR(VLOOKUP(E254,日报!E:F,2,0),"")</f>
        <v/>
      </c>
      <c r="G254" s="60"/>
      <c r="H254" s="72" t="str">
        <f>IFERROR(VLOOKUP(E254,日报!E:H,4,0),"")</f>
        <v/>
      </c>
      <c r="I254" s="37" t="str">
        <f>IFERROR(VLOOKUP(E254,日报!E:G,4,0),"")</f>
        <v/>
      </c>
      <c r="J254" s="38" t="str">
        <f t="shared" si="3"/>
        <v/>
      </c>
      <c r="K254" s="74"/>
    </row>
    <row r="255" customHeight="1" spans="1:11">
      <c r="A255" s="73"/>
      <c r="B255" s="60"/>
      <c r="C255" s="60"/>
      <c r="D255" s="60"/>
      <c r="E255" s="31"/>
      <c r="F255" s="71" t="str">
        <f>IFERROR(VLOOKUP(E255,日报!E:F,2,0),"")</f>
        <v/>
      </c>
      <c r="G255" s="60"/>
      <c r="H255" s="72" t="str">
        <f>IFERROR(VLOOKUP(E255,日报!E:H,4,0),"")</f>
        <v/>
      </c>
      <c r="I255" s="37" t="str">
        <f>IFERROR(VLOOKUP(E255,日报!E:G,4,0),"")</f>
        <v/>
      </c>
      <c r="J255" s="38" t="str">
        <f t="shared" si="3"/>
        <v/>
      </c>
      <c r="K255" s="74"/>
    </row>
    <row r="256" customHeight="1" spans="1:11">
      <c r="A256" s="73"/>
      <c r="B256" s="60"/>
      <c r="C256" s="60"/>
      <c r="D256" s="60"/>
      <c r="E256" s="31"/>
      <c r="F256" s="71" t="str">
        <f>IFERROR(VLOOKUP(E256,日报!E:F,2,0),"")</f>
        <v/>
      </c>
      <c r="G256" s="60"/>
      <c r="H256" s="72" t="str">
        <f>IFERROR(VLOOKUP(E256,日报!E:H,4,0),"")</f>
        <v/>
      </c>
      <c r="I256" s="37" t="str">
        <f>IFERROR(VLOOKUP(E256,日报!E:G,4,0),"")</f>
        <v/>
      </c>
      <c r="J256" s="38" t="str">
        <f t="shared" si="3"/>
        <v/>
      </c>
      <c r="K256" s="74"/>
    </row>
    <row r="257" customHeight="1" spans="1:11">
      <c r="A257" s="73"/>
      <c r="B257" s="60"/>
      <c r="C257" s="60"/>
      <c r="D257" s="60"/>
      <c r="E257" s="31"/>
      <c r="F257" s="71" t="str">
        <f>IFERROR(VLOOKUP(E257,日报!E:F,2,0),"")</f>
        <v/>
      </c>
      <c r="G257" s="60"/>
      <c r="H257" s="72" t="str">
        <f>IFERROR(VLOOKUP(E257,日报!E:H,4,0),"")</f>
        <v/>
      </c>
      <c r="I257" s="37" t="str">
        <f>IFERROR(VLOOKUP(E257,日报!E:G,4,0),"")</f>
        <v/>
      </c>
      <c r="J257" s="38" t="str">
        <f t="shared" si="3"/>
        <v/>
      </c>
      <c r="K257" s="74"/>
    </row>
    <row r="258" customHeight="1" spans="1:11">
      <c r="A258" s="73"/>
      <c r="B258" s="60"/>
      <c r="C258" s="60"/>
      <c r="D258" s="60"/>
      <c r="E258" s="31"/>
      <c r="F258" s="71" t="str">
        <f>IFERROR(VLOOKUP(E258,日报!E:F,2,0),"")</f>
        <v/>
      </c>
      <c r="G258" s="60"/>
      <c r="H258" s="72" t="str">
        <f>IFERROR(VLOOKUP(E258,日报!E:H,4,0),"")</f>
        <v/>
      </c>
      <c r="I258" s="37" t="str">
        <f>IFERROR(VLOOKUP(E258,日报!E:G,4,0),"")</f>
        <v/>
      </c>
      <c r="J258" s="38" t="str">
        <f t="shared" si="3"/>
        <v/>
      </c>
      <c r="K258" s="74"/>
    </row>
    <row r="259" customHeight="1" spans="1:11">
      <c r="A259" s="73"/>
      <c r="B259" s="60"/>
      <c r="C259" s="60"/>
      <c r="D259" s="60"/>
      <c r="E259" s="31"/>
      <c r="F259" s="71" t="str">
        <f>IFERROR(VLOOKUP(E259,日报!E:F,2,0),"")</f>
        <v/>
      </c>
      <c r="G259" s="60"/>
      <c r="H259" s="72" t="str">
        <f>IFERROR(VLOOKUP(E259,日报!E:H,4,0),"")</f>
        <v/>
      </c>
      <c r="I259" s="37" t="str">
        <f>IFERROR(VLOOKUP(E259,日报!E:G,4,0),"")</f>
        <v/>
      </c>
      <c r="J259" s="38" t="str">
        <f t="shared" si="3"/>
        <v/>
      </c>
      <c r="K259" s="74"/>
    </row>
    <row r="260" customHeight="1" spans="1:11">
      <c r="A260" s="73"/>
      <c r="B260" s="60"/>
      <c r="C260" s="60"/>
      <c r="D260" s="60"/>
      <c r="E260" s="31"/>
      <c r="F260" s="71" t="str">
        <f>IFERROR(VLOOKUP(E260,日报!E:F,2,0),"")</f>
        <v/>
      </c>
      <c r="G260" s="60"/>
      <c r="H260" s="72" t="str">
        <f>IFERROR(VLOOKUP(E260,日报!E:H,4,0),"")</f>
        <v/>
      </c>
      <c r="I260" s="37" t="str">
        <f>IFERROR(VLOOKUP(E260,日报!E:G,4,0),"")</f>
        <v/>
      </c>
      <c r="J260" s="38" t="str">
        <f t="shared" ref="J260:J272" si="4">IFERROR(G260/I260,"")</f>
        <v/>
      </c>
      <c r="K260" s="74"/>
    </row>
    <row r="261" customHeight="1" spans="1:11">
      <c r="A261" s="73"/>
      <c r="B261" s="60"/>
      <c r="C261" s="60"/>
      <c r="D261" s="60"/>
      <c r="E261" s="31"/>
      <c r="F261" s="71" t="str">
        <f>IFERROR(VLOOKUP(E261,日报!E:F,2,0),"")</f>
        <v/>
      </c>
      <c r="G261" s="60"/>
      <c r="H261" s="72" t="str">
        <f>IFERROR(VLOOKUP(E261,日报!E:H,4,0),"")</f>
        <v/>
      </c>
      <c r="I261" s="37" t="str">
        <f>IFERROR(VLOOKUP(E261,日报!E:G,4,0),"")</f>
        <v/>
      </c>
      <c r="J261" s="38" t="str">
        <f t="shared" si="4"/>
        <v/>
      </c>
      <c r="K261" s="74"/>
    </row>
    <row r="262" customHeight="1" spans="1:11">
      <c r="A262" s="73"/>
      <c r="B262" s="60"/>
      <c r="C262" s="60"/>
      <c r="D262" s="60"/>
      <c r="E262" s="31"/>
      <c r="F262" s="71" t="str">
        <f>IFERROR(VLOOKUP(E262,日报!E:F,2,0),"")</f>
        <v/>
      </c>
      <c r="G262" s="60"/>
      <c r="H262" s="72" t="str">
        <f>IFERROR(VLOOKUP(E262,日报!E:H,4,0),"")</f>
        <v/>
      </c>
      <c r="I262" s="37" t="str">
        <f>IFERROR(VLOOKUP(E262,日报!E:G,4,0),"")</f>
        <v/>
      </c>
      <c r="J262" s="38" t="str">
        <f t="shared" si="4"/>
        <v/>
      </c>
      <c r="K262" s="74"/>
    </row>
    <row r="263" customHeight="1" spans="1:11">
      <c r="A263" s="73"/>
      <c r="B263" s="60"/>
      <c r="C263" s="60"/>
      <c r="D263" s="60"/>
      <c r="E263" s="31"/>
      <c r="F263" s="71" t="str">
        <f>IFERROR(VLOOKUP(E263,日报!E:F,2,0),"")</f>
        <v/>
      </c>
      <c r="G263" s="60"/>
      <c r="H263" s="72" t="str">
        <f>IFERROR(VLOOKUP(E263,日报!E:H,4,0),"")</f>
        <v/>
      </c>
      <c r="I263" s="37" t="str">
        <f>IFERROR(VLOOKUP(E263,日报!E:G,4,0),"")</f>
        <v/>
      </c>
      <c r="J263" s="38" t="str">
        <f t="shared" si="4"/>
        <v/>
      </c>
      <c r="K263" s="74"/>
    </row>
    <row r="264" customHeight="1" spans="1:11">
      <c r="A264" s="73"/>
      <c r="B264" s="60"/>
      <c r="C264" s="60"/>
      <c r="D264" s="60"/>
      <c r="E264" s="31"/>
      <c r="F264" s="71" t="str">
        <f>IFERROR(VLOOKUP(E264,日报!E:F,2,0),"")</f>
        <v/>
      </c>
      <c r="G264" s="60"/>
      <c r="H264" s="72" t="str">
        <f>IFERROR(VLOOKUP(E264,日报!E:H,4,0),"")</f>
        <v/>
      </c>
      <c r="I264" s="37" t="str">
        <f>IFERROR(VLOOKUP(E264,日报!E:G,4,0),"")</f>
        <v/>
      </c>
      <c r="J264" s="38" t="str">
        <f t="shared" si="4"/>
        <v/>
      </c>
      <c r="K264" s="74"/>
    </row>
    <row r="265" customHeight="1" spans="1:11">
      <c r="A265" s="73"/>
      <c r="B265" s="60"/>
      <c r="C265" s="60"/>
      <c r="D265" s="60"/>
      <c r="E265" s="31"/>
      <c r="F265" s="71" t="str">
        <f>IFERROR(VLOOKUP(E265,日报!E:F,2,0),"")</f>
        <v/>
      </c>
      <c r="G265" s="60"/>
      <c r="H265" s="72" t="str">
        <f>IFERROR(VLOOKUP(E265,日报!E:H,4,0),"")</f>
        <v/>
      </c>
      <c r="I265" s="37" t="str">
        <f>IFERROR(VLOOKUP(E265,日报!E:G,4,0),"")</f>
        <v/>
      </c>
      <c r="J265" s="38" t="str">
        <f t="shared" si="4"/>
        <v/>
      </c>
      <c r="K265" s="74"/>
    </row>
    <row r="266" customHeight="1" spans="1:11">
      <c r="A266" s="73"/>
      <c r="B266" s="60"/>
      <c r="C266" s="60"/>
      <c r="D266" s="60"/>
      <c r="E266" s="31"/>
      <c r="F266" s="71" t="str">
        <f>IFERROR(VLOOKUP(E266,日报!E:F,2,0),"")</f>
        <v/>
      </c>
      <c r="G266" s="60"/>
      <c r="H266" s="72" t="str">
        <f>IFERROR(VLOOKUP(E266,日报!E:H,4,0),"")</f>
        <v/>
      </c>
      <c r="I266" s="37" t="str">
        <f>IFERROR(VLOOKUP(E266,日报!E:G,4,0),"")</f>
        <v/>
      </c>
      <c r="J266" s="38" t="str">
        <f t="shared" si="4"/>
        <v/>
      </c>
      <c r="K266" s="74"/>
    </row>
    <row r="267" customHeight="1" spans="1:11">
      <c r="A267" s="73"/>
      <c r="B267" s="60"/>
      <c r="C267" s="60"/>
      <c r="D267" s="60"/>
      <c r="E267" s="31"/>
      <c r="F267" s="71" t="str">
        <f>IFERROR(VLOOKUP(E267,日报!E:F,2,0),"")</f>
        <v/>
      </c>
      <c r="G267" s="60"/>
      <c r="H267" s="72" t="str">
        <f>IFERROR(VLOOKUP(E267,日报!E:H,4,0),"")</f>
        <v/>
      </c>
      <c r="I267" s="37" t="str">
        <f>IFERROR(VLOOKUP(E267,日报!E:G,4,0),"")</f>
        <v/>
      </c>
      <c r="J267" s="38" t="str">
        <f t="shared" si="4"/>
        <v/>
      </c>
      <c r="K267" s="74"/>
    </row>
    <row r="268" customHeight="1" spans="1:11">
      <c r="A268" s="73"/>
      <c r="B268" s="60"/>
      <c r="C268" s="60"/>
      <c r="D268" s="60"/>
      <c r="E268" s="31"/>
      <c r="F268" s="71" t="str">
        <f>IFERROR(VLOOKUP(E268,日报!E:F,2,0),"")</f>
        <v/>
      </c>
      <c r="G268" s="60"/>
      <c r="H268" s="72" t="str">
        <f>IFERROR(VLOOKUP(E268,日报!E:H,4,0),"")</f>
        <v/>
      </c>
      <c r="I268" s="37" t="str">
        <f>IFERROR(VLOOKUP(E268,日报!E:G,4,0),"")</f>
        <v/>
      </c>
      <c r="J268" s="38" t="str">
        <f t="shared" si="4"/>
        <v/>
      </c>
      <c r="K268" s="74"/>
    </row>
    <row r="269" customHeight="1" spans="1:11">
      <c r="A269" s="73"/>
      <c r="B269" s="60"/>
      <c r="C269" s="60"/>
      <c r="D269" s="60"/>
      <c r="E269" s="31"/>
      <c r="F269" s="71" t="str">
        <f>IFERROR(VLOOKUP(E269,日报!E:F,2,0),"")</f>
        <v/>
      </c>
      <c r="G269" s="60"/>
      <c r="H269" s="72" t="str">
        <f>IFERROR(VLOOKUP(E269,日报!E:H,4,0),"")</f>
        <v/>
      </c>
      <c r="I269" s="37" t="str">
        <f>IFERROR(VLOOKUP(E269,日报!E:G,4,0),"")</f>
        <v/>
      </c>
      <c r="J269" s="38" t="str">
        <f t="shared" si="4"/>
        <v/>
      </c>
      <c r="K269" s="74"/>
    </row>
    <row r="270" customHeight="1" spans="1:11">
      <c r="A270" s="73"/>
      <c r="B270" s="60"/>
      <c r="C270" s="60"/>
      <c r="D270" s="60"/>
      <c r="E270" s="31"/>
      <c r="F270" s="71" t="str">
        <f>IFERROR(VLOOKUP(E270,日报!E:F,2,0),"")</f>
        <v/>
      </c>
      <c r="G270" s="60"/>
      <c r="H270" s="72" t="str">
        <f>IFERROR(VLOOKUP(E270,日报!E:H,4,0),"")</f>
        <v/>
      </c>
      <c r="I270" s="37" t="str">
        <f>IFERROR(VLOOKUP(E270,日报!E:G,4,0),"")</f>
        <v/>
      </c>
      <c r="J270" s="38" t="str">
        <f t="shared" si="4"/>
        <v/>
      </c>
      <c r="K270" s="74"/>
    </row>
    <row r="271" customHeight="1" spans="1:11">
      <c r="A271" s="73"/>
      <c r="B271" s="60"/>
      <c r="C271" s="60"/>
      <c r="D271" s="60"/>
      <c r="E271" s="31"/>
      <c r="F271" s="71" t="str">
        <f>IFERROR(VLOOKUP(E271,日报!E:F,2,0),"")</f>
        <v/>
      </c>
      <c r="G271" s="60"/>
      <c r="H271" s="72" t="str">
        <f>IFERROR(VLOOKUP(E271,日报!E:H,4,0),"")</f>
        <v/>
      </c>
      <c r="I271" s="37" t="str">
        <f>IFERROR(VLOOKUP(E271,日报!E:G,4,0),"")</f>
        <v/>
      </c>
      <c r="J271" s="38" t="str">
        <f t="shared" si="4"/>
        <v/>
      </c>
      <c r="K271" s="74"/>
    </row>
    <row r="272" customHeight="1" spans="1:11">
      <c r="A272" s="73"/>
      <c r="B272" s="60"/>
      <c r="C272" s="60"/>
      <c r="D272" s="60"/>
      <c r="E272" s="31"/>
      <c r="F272" s="71" t="str">
        <f>IFERROR(VLOOKUP(E272,日报!E:F,2,0),"")</f>
        <v/>
      </c>
      <c r="G272" s="60"/>
      <c r="H272" s="72" t="str">
        <f>IFERROR(VLOOKUP(E272,日报!E:H,4,0),"")</f>
        <v/>
      </c>
      <c r="I272" s="37" t="str">
        <f>IFERROR(VLOOKUP(E272,日报!E:G,4,0),"")</f>
        <v/>
      </c>
      <c r="J272" s="38" t="str">
        <f t="shared" si="4"/>
        <v/>
      </c>
      <c r="K272" s="74"/>
    </row>
    <row r="273" customHeight="1" spans="5:5">
      <c r="E273" s="31"/>
    </row>
    <row r="274" customHeight="1" spans="5:5">
      <c r="E274" s="31"/>
    </row>
    <row r="275" customHeight="1" spans="5:5">
      <c r="E275" s="31"/>
    </row>
    <row r="276" customHeight="1" spans="5:5">
      <c r="E276" s="31"/>
    </row>
    <row r="277" customHeight="1" spans="5:5">
      <c r="E277" s="31"/>
    </row>
    <row r="278" customHeight="1" spans="5:5">
      <c r="E278" s="31"/>
    </row>
    <row r="279" customHeight="1" spans="5:5">
      <c r="E279" s="31"/>
    </row>
    <row r="280" customHeight="1" spans="5:5">
      <c r="E280" s="31"/>
    </row>
    <row r="281" customHeight="1" spans="5:5">
      <c r="E281" s="31"/>
    </row>
    <row r="282" customHeight="1" spans="5:5">
      <c r="E282" s="31"/>
    </row>
    <row r="283" customHeight="1" spans="5:5">
      <c r="E283" s="31"/>
    </row>
    <row r="284" customHeight="1" spans="5:5">
      <c r="E284" s="31"/>
    </row>
    <row r="285" customHeight="1" spans="5:5">
      <c r="E285" s="31"/>
    </row>
    <row r="286" customHeight="1" spans="5:5">
      <c r="E286" s="31"/>
    </row>
    <row r="287" customHeight="1" spans="5:5">
      <c r="E287" s="31"/>
    </row>
    <row r="288" customHeight="1" spans="5:5">
      <c r="E288" s="31"/>
    </row>
    <row r="289" customHeight="1" spans="5:5">
      <c r="E289" s="31"/>
    </row>
    <row r="290" customHeight="1" spans="5:5">
      <c r="E290" s="31"/>
    </row>
    <row r="291" customHeight="1" spans="5:5">
      <c r="E291" s="31"/>
    </row>
    <row r="292" customHeight="1" spans="5:5">
      <c r="E292" s="31"/>
    </row>
    <row r="293" customHeight="1" spans="5:5">
      <c r="E293" s="31"/>
    </row>
    <row r="294" customHeight="1" spans="5:5">
      <c r="E294" s="31"/>
    </row>
    <row r="295" customHeight="1" spans="5:5">
      <c r="E295" s="31"/>
    </row>
    <row r="296" customHeight="1" spans="5:5">
      <c r="E296" s="31"/>
    </row>
    <row r="297" customHeight="1" spans="5:5">
      <c r="E297" s="31"/>
    </row>
    <row r="298" customHeight="1" spans="5:5">
      <c r="E298" s="31"/>
    </row>
    <row r="299" customHeight="1" spans="5:5">
      <c r="E299" s="31"/>
    </row>
    <row r="300" customHeight="1" spans="5:5">
      <c r="E300" s="31"/>
    </row>
  </sheetData>
  <autoFilter xmlns:etc="http://www.wps.cn/officeDocument/2017/etCustomData" ref="A1:J272" etc:filterBottomFollowUsedRange="0">
    <extLst/>
  </autoFilter>
  <sortState ref="A2:L5747">
    <sortCondition ref="A2:A5747"/>
    <sortCondition ref="D2:D5747"/>
  </sortState>
  <dataValidations count="3">
    <dataValidation type="list" allowBlank="1" showInputMessage="1" showErrorMessage="1" sqref="F1 F13:F1048576">
      <formula1>日报!$F:$F</formula1>
    </dataValidation>
    <dataValidation type="list" allowBlank="1" showInputMessage="1" showErrorMessage="1" sqref="K24 K26:K28 K42:K50">
      <formula1>"葛恒山,何清平"</formula1>
    </dataValidation>
    <dataValidation type="list" allowBlank="1" showInputMessage="1" showErrorMessage="1" sqref="E13:E177 E179:E300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ignoredErrors>
    <ignoredError sqref="F17:F272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291"/>
  <sheetViews>
    <sheetView showGridLines="0" zoomScale="70" zoomScaleNormal="70" workbookViewId="0">
      <pane ySplit="1" topLeftCell="A2" activePane="bottomLeft" state="frozen"/>
      <selection/>
      <selection pane="bottomLeft" activeCell="D24" sqref="D24"/>
    </sheetView>
  </sheetViews>
  <sheetFormatPr defaultColWidth="9" defaultRowHeight="21" customHeight="1"/>
  <cols>
    <col min="1" max="1" width="13.7777777777778" style="40" customWidth="1"/>
    <col min="2" max="2" width="10" style="41" customWidth="1"/>
    <col min="3" max="3" width="36.3333333333333" style="42" customWidth="1"/>
    <col min="4" max="4" width="18.6666666666667" style="42" customWidth="1"/>
    <col min="5" max="5" width="22.4444444444444" style="42" customWidth="1"/>
    <col min="6" max="6" width="48.3333333333333" style="43" customWidth="1"/>
    <col min="7" max="7" width="13.3333333333333" style="42" customWidth="1"/>
    <col min="8" max="8" width="12.8888888888889" style="44" customWidth="1"/>
    <col min="9" max="9" width="11.4444444444444" style="45" customWidth="1"/>
    <col min="10" max="10" width="24" style="42" customWidth="1"/>
    <col min="11" max="11" width="14.3333333333333" style="46" customWidth="1"/>
    <col min="12" max="16384" width="9" style="47"/>
  </cols>
  <sheetData>
    <row r="1" s="39" customFormat="1" customHeight="1" spans="1:1020 1030:2040 2050:2570">
      <c r="A1" s="48" t="s">
        <v>36</v>
      </c>
      <c r="B1" s="49" t="s">
        <v>24</v>
      </c>
      <c r="C1" s="49" t="s">
        <v>3</v>
      </c>
      <c r="D1" s="49" t="s">
        <v>37</v>
      </c>
      <c r="E1" s="49" t="s">
        <v>26</v>
      </c>
      <c r="F1" s="49" t="s">
        <v>6</v>
      </c>
      <c r="G1" s="49" t="s">
        <v>38</v>
      </c>
      <c r="H1" s="49" t="s">
        <v>28</v>
      </c>
      <c r="I1" s="49" t="s">
        <v>29</v>
      </c>
      <c r="J1" s="49" t="s">
        <v>31</v>
      </c>
      <c r="K1" s="50" t="s">
        <v>30</v>
      </c>
    </row>
    <row r="2" s="16" customFormat="1" customHeight="1" spans="1:1020 1030:2040 2050:2570">
      <c r="A2" s="51">
        <v>46146</v>
      </c>
      <c r="B2" s="92" t="s">
        <v>32</v>
      </c>
      <c r="C2" s="8" t="s">
        <v>33</v>
      </c>
      <c r="D2" s="52">
        <v>652335201</v>
      </c>
      <c r="E2" s="9" t="s">
        <v>34</v>
      </c>
      <c r="F2" s="53" t="str">
        <f>IFERROR(VLOOKUP(E2,基础数据!$E$4:$H$4,2,0),"")</f>
        <v>车载电源二合一</v>
      </c>
      <c r="G2" s="52">
        <v>1215</v>
      </c>
      <c r="H2" s="53" t="str">
        <f>IFERROR(VLOOKUP(E2,基础数据!$E$4:$H$4,4,0),"")</f>
        <v>围板箱</v>
      </c>
      <c r="I2" s="53">
        <f>IFERROR(VLOOKUP(E2,基础数据!$E$4:$H$4,3,0),"")</f>
        <v>45</v>
      </c>
      <c r="J2" s="52" t="s">
        <v>35</v>
      </c>
      <c r="K2" s="54">
        <f>IFERROR(G2/I2,"")</f>
        <v>27</v>
      </c>
      <c r="T2" s="33"/>
      <c r="AD2" s="33"/>
      <c r="AN2" s="33"/>
      <c r="AX2" s="33"/>
      <c r="BH2" s="33"/>
      <c r="BR2" s="33"/>
      <c r="CB2" s="33"/>
      <c r="CL2" s="33"/>
      <c r="CV2" s="33"/>
      <c r="DF2" s="33"/>
      <c r="DP2" s="33"/>
      <c r="DZ2" s="33"/>
      <c r="EJ2" s="33"/>
      <c r="ET2" s="33"/>
      <c r="FD2" s="33"/>
      <c r="FN2" s="33"/>
      <c r="FX2" s="33"/>
      <c r="GH2" s="33"/>
      <c r="GR2" s="33"/>
      <c r="HB2" s="33"/>
      <c r="HL2" s="33"/>
      <c r="HV2" s="33"/>
      <c r="IF2" s="33"/>
      <c r="IP2" s="33"/>
      <c r="IZ2" s="33"/>
      <c r="JJ2" s="33"/>
      <c r="JT2" s="33"/>
      <c r="KD2" s="33"/>
      <c r="KN2" s="33"/>
      <c r="KX2" s="33"/>
      <c r="LH2" s="33"/>
      <c r="LR2" s="33"/>
      <c r="MB2" s="33"/>
      <c r="ML2" s="33"/>
      <c r="MV2" s="33"/>
      <c r="NF2" s="33"/>
      <c r="NP2" s="33"/>
      <c r="NZ2" s="33"/>
      <c r="OJ2" s="33"/>
      <c r="OT2" s="33"/>
      <c r="PD2" s="33"/>
      <c r="PN2" s="33"/>
      <c r="PX2" s="33"/>
      <c r="QH2" s="33"/>
      <c r="QR2" s="33"/>
      <c r="RB2" s="33"/>
      <c r="RL2" s="33"/>
      <c r="RV2" s="33"/>
      <c r="SF2" s="33"/>
      <c r="SP2" s="33"/>
      <c r="SZ2" s="33"/>
      <c r="TJ2" s="33"/>
      <c r="TT2" s="33"/>
      <c r="UD2" s="33"/>
      <c r="UN2" s="33"/>
      <c r="UX2" s="33"/>
      <c r="VH2" s="33"/>
      <c r="VR2" s="33"/>
      <c r="WB2" s="33"/>
      <c r="WL2" s="33"/>
      <c r="WV2" s="33"/>
      <c r="XF2" s="33"/>
      <c r="XP2" s="33"/>
      <c r="XZ2" s="33"/>
      <c r="YJ2" s="33"/>
      <c r="YT2" s="33"/>
      <c r="ZD2" s="33"/>
      <c r="ZN2" s="33"/>
      <c r="ZX2" s="33"/>
      <c r="AAH2" s="33"/>
      <c r="AAR2" s="33"/>
      <c r="ABB2" s="33"/>
      <c r="ABL2" s="33"/>
      <c r="ABV2" s="33"/>
      <c r="ACF2" s="33"/>
      <c r="ACP2" s="33"/>
      <c r="ACZ2" s="33"/>
      <c r="ADJ2" s="33"/>
      <c r="ADT2" s="33"/>
      <c r="AED2" s="33"/>
      <c r="AEN2" s="33"/>
      <c r="AEX2" s="33"/>
      <c r="AFH2" s="33"/>
      <c r="AFR2" s="33"/>
      <c r="AGB2" s="33"/>
      <c r="AGL2" s="33"/>
      <c r="AGV2" s="33"/>
      <c r="AHF2" s="33"/>
      <c r="AHP2" s="33"/>
      <c r="AHZ2" s="33"/>
      <c r="AIJ2" s="33"/>
      <c r="AIT2" s="33"/>
      <c r="AJD2" s="33"/>
      <c r="AJN2" s="33"/>
      <c r="AJX2" s="33"/>
      <c r="AKH2" s="33"/>
      <c r="AKR2" s="33"/>
      <c r="ALB2" s="33"/>
      <c r="ALL2" s="33"/>
      <c r="ALV2" s="33"/>
      <c r="AMF2" s="33"/>
      <c r="AMP2" s="33"/>
      <c r="AMZ2" s="33"/>
      <c r="ANJ2" s="33"/>
      <c r="ANT2" s="33"/>
      <c r="AOD2" s="33"/>
      <c r="AON2" s="33"/>
      <c r="AOX2" s="33"/>
      <c r="APH2" s="33"/>
      <c r="APR2" s="33"/>
      <c r="AQB2" s="33"/>
      <c r="AQL2" s="33"/>
      <c r="AQV2" s="33"/>
      <c r="ARF2" s="33"/>
      <c r="ARP2" s="33"/>
      <c r="ARZ2" s="33"/>
      <c r="ASJ2" s="33"/>
      <c r="AST2" s="33"/>
      <c r="ATD2" s="33"/>
      <c r="ATN2" s="33"/>
      <c r="ATX2" s="33"/>
      <c r="AUH2" s="33"/>
      <c r="AUR2" s="33"/>
      <c r="AVB2" s="33"/>
      <c r="AVL2" s="33"/>
      <c r="AVV2" s="33"/>
      <c r="AWF2" s="33"/>
      <c r="AWP2" s="33"/>
      <c r="AWZ2" s="33"/>
      <c r="AXJ2" s="33"/>
      <c r="AXT2" s="33"/>
      <c r="AYD2" s="33"/>
      <c r="AYN2" s="33"/>
      <c r="AYX2" s="33"/>
      <c r="AZH2" s="33"/>
      <c r="AZR2" s="33"/>
      <c r="BAB2" s="33"/>
      <c r="BAL2" s="33"/>
      <c r="BAV2" s="33"/>
      <c r="BBF2" s="33"/>
      <c r="BBP2" s="33"/>
      <c r="BBZ2" s="33"/>
      <c r="BCJ2" s="33"/>
      <c r="BCT2" s="33"/>
      <c r="BDD2" s="33"/>
      <c r="BDN2" s="33"/>
      <c r="BDX2" s="33"/>
      <c r="BEH2" s="33"/>
      <c r="BER2" s="33"/>
      <c r="BFB2" s="33"/>
      <c r="BFL2" s="33"/>
      <c r="BFV2" s="33"/>
      <c r="BGF2" s="33"/>
      <c r="BGP2" s="33"/>
      <c r="BGZ2" s="33"/>
      <c r="BHJ2" s="33"/>
      <c r="BHT2" s="33"/>
      <c r="BID2" s="33"/>
      <c r="BIN2" s="33"/>
      <c r="BIX2" s="33"/>
      <c r="BJH2" s="33"/>
      <c r="BJR2" s="33"/>
      <c r="BKB2" s="33"/>
      <c r="BKL2" s="33"/>
      <c r="BKV2" s="33"/>
      <c r="BLF2" s="33"/>
      <c r="BLP2" s="33"/>
      <c r="BLZ2" s="33"/>
      <c r="BMJ2" s="33"/>
      <c r="BMT2" s="33"/>
      <c r="BND2" s="33"/>
      <c r="BNN2" s="33"/>
      <c r="BNX2" s="33"/>
      <c r="BOH2" s="33"/>
      <c r="BOR2" s="33"/>
      <c r="BPB2" s="33"/>
      <c r="BPL2" s="33"/>
      <c r="BPV2" s="33"/>
      <c r="BQF2" s="33"/>
      <c r="BQP2" s="33"/>
      <c r="BQZ2" s="33"/>
      <c r="BRJ2" s="33"/>
      <c r="BRT2" s="33"/>
      <c r="BSD2" s="33"/>
      <c r="BSN2" s="33"/>
      <c r="BSX2" s="33"/>
      <c r="BTH2" s="33"/>
      <c r="BTR2" s="33"/>
      <c r="BUB2" s="33"/>
      <c r="BUL2" s="33"/>
      <c r="BUV2" s="33"/>
      <c r="BVF2" s="33"/>
      <c r="BVP2" s="33"/>
      <c r="BVZ2" s="33"/>
      <c r="BWJ2" s="33"/>
      <c r="BWT2" s="33"/>
      <c r="BXD2" s="33"/>
      <c r="BXN2" s="33"/>
      <c r="BXX2" s="33"/>
      <c r="BYH2" s="33"/>
      <c r="BYR2" s="33"/>
      <c r="BZB2" s="33"/>
      <c r="BZL2" s="33"/>
      <c r="BZV2" s="33"/>
      <c r="CAF2" s="33"/>
      <c r="CAP2" s="33"/>
      <c r="CAZ2" s="33"/>
      <c r="CBJ2" s="33"/>
      <c r="CBT2" s="33"/>
      <c r="CCD2" s="33"/>
      <c r="CCN2" s="33"/>
      <c r="CCX2" s="33"/>
      <c r="CDH2" s="33"/>
      <c r="CDR2" s="33"/>
      <c r="CEB2" s="33"/>
      <c r="CEL2" s="33"/>
      <c r="CEV2" s="33"/>
      <c r="CFF2" s="33"/>
      <c r="CFP2" s="33"/>
      <c r="CFZ2" s="33"/>
      <c r="CGJ2" s="33"/>
      <c r="CGT2" s="33"/>
      <c r="CHD2" s="33"/>
      <c r="CHN2" s="33"/>
      <c r="CHX2" s="33"/>
      <c r="CIH2" s="33"/>
      <c r="CIR2" s="33"/>
      <c r="CJB2" s="33"/>
      <c r="CJL2" s="33"/>
      <c r="CJV2" s="33"/>
      <c r="CKF2" s="33"/>
      <c r="CKP2" s="33"/>
      <c r="CKZ2" s="33"/>
      <c r="CLJ2" s="33"/>
      <c r="CLT2" s="33"/>
      <c r="CMD2" s="33"/>
      <c r="CMN2" s="33"/>
      <c r="CMX2" s="33"/>
      <c r="CNH2" s="33"/>
      <c r="CNR2" s="33"/>
      <c r="COB2" s="33"/>
      <c r="COL2" s="33"/>
      <c r="COV2" s="33"/>
      <c r="CPF2" s="33"/>
      <c r="CPP2" s="33"/>
      <c r="CPZ2" s="33"/>
      <c r="CQJ2" s="33"/>
      <c r="CQT2" s="33"/>
      <c r="CRD2" s="33"/>
      <c r="CRN2" s="33"/>
      <c r="CRX2" s="33"/>
      <c r="CSH2" s="33"/>
      <c r="CSR2" s="33"/>
      <c r="CTB2" s="33"/>
      <c r="CTL2" s="33"/>
      <c r="CTV2" s="33"/>
    </row>
    <row r="3" s="16" customFormat="1" customHeight="1" spans="1:1020 1030:2040 2050:2570">
      <c r="A3" s="51">
        <v>46147</v>
      </c>
      <c r="B3" s="92" t="s">
        <v>32</v>
      </c>
      <c r="C3" s="8" t="s">
        <v>33</v>
      </c>
      <c r="D3" s="52">
        <v>652343470</v>
      </c>
      <c r="E3" s="9" t="s">
        <v>34</v>
      </c>
      <c r="F3" s="53" t="str">
        <f>IFERROR(VLOOKUP(E3,基础数据!$E$4:$H$4,2,0),"")</f>
        <v>车载电源二合一</v>
      </c>
      <c r="G3" s="52">
        <v>1215</v>
      </c>
      <c r="H3" s="53" t="str">
        <f>IFERROR(VLOOKUP(E3,基础数据!$E$4:$H$4,4,0),"")</f>
        <v>围板箱</v>
      </c>
      <c r="I3" s="53">
        <f>IFERROR(VLOOKUP(E3,基础数据!$E$4:$H$4,3,0),"")</f>
        <v>45</v>
      </c>
      <c r="J3" s="52" t="s">
        <v>35</v>
      </c>
      <c r="K3" s="54">
        <f>IFERROR(G3/I3,"")</f>
        <v>27</v>
      </c>
      <c r="T3" s="33"/>
      <c r="AD3" s="33"/>
      <c r="AN3" s="33"/>
      <c r="AX3" s="33"/>
      <c r="BH3" s="33"/>
      <c r="BR3" s="33"/>
      <c r="CB3" s="33"/>
      <c r="CL3" s="33"/>
      <c r="CV3" s="33"/>
      <c r="DF3" s="33"/>
      <c r="DP3" s="33"/>
      <c r="DZ3" s="33"/>
      <c r="EJ3" s="33"/>
      <c r="ET3" s="33"/>
      <c r="FD3" s="33"/>
      <c r="FN3" s="33"/>
      <c r="FX3" s="33"/>
      <c r="GH3" s="33"/>
      <c r="GR3" s="33"/>
      <c r="HB3" s="33"/>
      <c r="HL3" s="33"/>
      <c r="HV3" s="33"/>
      <c r="IF3" s="33"/>
      <c r="IP3" s="33"/>
      <c r="IZ3" s="33"/>
      <c r="JJ3" s="33"/>
      <c r="JT3" s="33"/>
      <c r="KD3" s="33"/>
      <c r="KN3" s="33"/>
      <c r="KX3" s="33"/>
      <c r="LH3" s="33"/>
      <c r="LR3" s="33"/>
      <c r="MB3" s="33"/>
      <c r="ML3" s="33"/>
      <c r="MV3" s="33"/>
      <c r="NF3" s="33"/>
      <c r="NP3" s="33"/>
      <c r="NZ3" s="33"/>
      <c r="OJ3" s="33"/>
      <c r="OT3" s="33"/>
      <c r="PD3" s="33"/>
      <c r="PN3" s="33"/>
      <c r="PX3" s="33"/>
      <c r="QH3" s="33"/>
      <c r="QR3" s="33"/>
      <c r="RB3" s="33"/>
      <c r="RL3" s="33"/>
      <c r="RV3" s="33"/>
      <c r="SF3" s="33"/>
      <c r="SP3" s="33"/>
      <c r="SZ3" s="33"/>
      <c r="TJ3" s="33"/>
      <c r="TT3" s="33"/>
      <c r="UD3" s="33"/>
      <c r="UN3" s="33"/>
      <c r="UX3" s="33"/>
      <c r="VH3" s="33"/>
      <c r="VR3" s="33"/>
      <c r="WB3" s="33"/>
      <c r="WL3" s="33"/>
      <c r="WV3" s="33"/>
      <c r="XF3" s="33"/>
      <c r="XP3" s="33"/>
      <c r="XZ3" s="33"/>
      <c r="YJ3" s="33"/>
      <c r="YT3" s="33"/>
      <c r="ZD3" s="33"/>
      <c r="ZN3" s="33"/>
      <c r="ZX3" s="33"/>
      <c r="AAH3" s="33"/>
      <c r="AAR3" s="33"/>
      <c r="ABB3" s="33"/>
      <c r="ABL3" s="33"/>
      <c r="ABV3" s="33"/>
      <c r="ACF3" s="33"/>
      <c r="ACP3" s="33"/>
      <c r="ACZ3" s="33"/>
      <c r="ADJ3" s="33"/>
      <c r="ADT3" s="33"/>
      <c r="AED3" s="33"/>
      <c r="AEN3" s="33"/>
      <c r="AEX3" s="33"/>
      <c r="AFH3" s="33"/>
      <c r="AFR3" s="33"/>
      <c r="AGB3" s="33"/>
      <c r="AGL3" s="33"/>
      <c r="AGV3" s="33"/>
      <c r="AHF3" s="33"/>
      <c r="AHP3" s="33"/>
      <c r="AHZ3" s="33"/>
      <c r="AIJ3" s="33"/>
      <c r="AIT3" s="33"/>
      <c r="AJD3" s="33"/>
      <c r="AJN3" s="33"/>
      <c r="AJX3" s="33"/>
      <c r="AKH3" s="33"/>
      <c r="AKR3" s="33"/>
      <c r="ALB3" s="33"/>
      <c r="ALL3" s="33"/>
      <c r="ALV3" s="33"/>
      <c r="AMF3" s="33"/>
      <c r="AMP3" s="33"/>
      <c r="AMZ3" s="33"/>
      <c r="ANJ3" s="33"/>
      <c r="ANT3" s="33"/>
      <c r="AOD3" s="33"/>
      <c r="AON3" s="33"/>
      <c r="AOX3" s="33"/>
      <c r="APH3" s="33"/>
      <c r="APR3" s="33"/>
      <c r="AQB3" s="33"/>
      <c r="AQL3" s="33"/>
      <c r="AQV3" s="33"/>
      <c r="ARF3" s="33"/>
      <c r="ARP3" s="33"/>
      <c r="ARZ3" s="33"/>
      <c r="ASJ3" s="33"/>
      <c r="AST3" s="33"/>
      <c r="ATD3" s="33"/>
      <c r="ATN3" s="33"/>
      <c r="ATX3" s="33"/>
      <c r="AUH3" s="33"/>
      <c r="AUR3" s="33"/>
      <c r="AVB3" s="33"/>
      <c r="AVL3" s="33"/>
      <c r="AVV3" s="33"/>
      <c r="AWF3" s="33"/>
      <c r="AWP3" s="33"/>
      <c r="AWZ3" s="33"/>
      <c r="AXJ3" s="33"/>
      <c r="AXT3" s="33"/>
      <c r="AYD3" s="33"/>
      <c r="AYN3" s="33"/>
      <c r="AYX3" s="33"/>
      <c r="AZH3" s="33"/>
      <c r="AZR3" s="33"/>
      <c r="BAB3" s="33"/>
      <c r="BAL3" s="33"/>
      <c r="BAV3" s="33"/>
      <c r="BBF3" s="33"/>
      <c r="BBP3" s="33"/>
      <c r="BBZ3" s="33"/>
      <c r="BCJ3" s="33"/>
      <c r="BCT3" s="33"/>
      <c r="BDD3" s="33"/>
      <c r="BDN3" s="33"/>
      <c r="BDX3" s="33"/>
      <c r="BEH3" s="33"/>
      <c r="BER3" s="33"/>
      <c r="BFB3" s="33"/>
      <c r="BFL3" s="33"/>
      <c r="BFV3" s="33"/>
      <c r="BGF3" s="33"/>
      <c r="BGP3" s="33"/>
      <c r="BGZ3" s="33"/>
      <c r="BHJ3" s="33"/>
      <c r="BHT3" s="33"/>
      <c r="BID3" s="33"/>
      <c r="BIN3" s="33"/>
      <c r="BIX3" s="33"/>
      <c r="BJH3" s="33"/>
      <c r="BJR3" s="33"/>
      <c r="BKB3" s="33"/>
      <c r="BKL3" s="33"/>
      <c r="BKV3" s="33"/>
      <c r="BLF3" s="33"/>
      <c r="BLP3" s="33"/>
      <c r="BLZ3" s="33"/>
      <c r="BMJ3" s="33"/>
      <c r="BMT3" s="33"/>
      <c r="BND3" s="33"/>
      <c r="BNN3" s="33"/>
      <c r="BNX3" s="33"/>
      <c r="BOH3" s="33"/>
      <c r="BOR3" s="33"/>
      <c r="BPB3" s="33"/>
      <c r="BPL3" s="33"/>
      <c r="BPV3" s="33"/>
      <c r="BQF3" s="33"/>
      <c r="BQP3" s="33"/>
      <c r="BQZ3" s="33"/>
      <c r="BRJ3" s="33"/>
      <c r="BRT3" s="33"/>
      <c r="BSD3" s="33"/>
      <c r="BSN3" s="33"/>
      <c r="BSX3" s="33"/>
      <c r="BTH3" s="33"/>
      <c r="BTR3" s="33"/>
      <c r="BUB3" s="33"/>
      <c r="BUL3" s="33"/>
      <c r="BUV3" s="33"/>
      <c r="BVF3" s="33"/>
      <c r="BVP3" s="33"/>
      <c r="BVZ3" s="33"/>
      <c r="BWJ3" s="33"/>
      <c r="BWT3" s="33"/>
      <c r="BXD3" s="33"/>
      <c r="BXN3" s="33"/>
      <c r="BXX3" s="33"/>
      <c r="BYH3" s="33"/>
      <c r="BYR3" s="33"/>
      <c r="BZB3" s="33"/>
      <c r="BZL3" s="33"/>
      <c r="BZV3" s="33"/>
      <c r="CAF3" s="33"/>
      <c r="CAP3" s="33"/>
      <c r="CAZ3" s="33"/>
      <c r="CBJ3" s="33"/>
      <c r="CBT3" s="33"/>
      <c r="CCD3" s="33"/>
      <c r="CCN3" s="33"/>
      <c r="CCX3" s="33"/>
      <c r="CDH3" s="33"/>
      <c r="CDR3" s="33"/>
      <c r="CEB3" s="33"/>
      <c r="CEL3" s="33"/>
      <c r="CEV3" s="33"/>
      <c r="CFF3" s="33"/>
      <c r="CFP3" s="33"/>
      <c r="CFZ3" s="33"/>
      <c r="CGJ3" s="33"/>
      <c r="CGT3" s="33"/>
      <c r="CHD3" s="33"/>
      <c r="CHN3" s="33"/>
      <c r="CHX3" s="33"/>
      <c r="CIH3" s="33"/>
      <c r="CIR3" s="33"/>
      <c r="CJB3" s="33"/>
      <c r="CJL3" s="33"/>
      <c r="CJV3" s="33"/>
      <c r="CKF3" s="33"/>
      <c r="CKP3" s="33"/>
      <c r="CKZ3" s="33"/>
      <c r="CLJ3" s="33"/>
      <c r="CLT3" s="33"/>
      <c r="CMD3" s="33"/>
      <c r="CMN3" s="33"/>
      <c r="CMX3" s="33"/>
      <c r="CNH3" s="33"/>
      <c r="CNR3" s="33"/>
      <c r="COB3" s="33"/>
      <c r="COL3" s="33"/>
      <c r="COV3" s="33"/>
      <c r="CPF3" s="33"/>
      <c r="CPP3" s="33"/>
      <c r="CPZ3" s="33"/>
      <c r="CQJ3" s="33"/>
      <c r="CQT3" s="33"/>
      <c r="CRD3" s="33"/>
      <c r="CRN3" s="33"/>
      <c r="CRX3" s="33"/>
      <c r="CSH3" s="33"/>
      <c r="CSR3" s="33"/>
      <c r="CTB3" s="33"/>
      <c r="CTL3" s="33"/>
      <c r="CTV3" s="33"/>
    </row>
    <row r="4" s="16" customFormat="1" customHeight="1" spans="1:1020 1030:2040 2050:2570">
      <c r="A4" s="51">
        <v>46148</v>
      </c>
      <c r="B4" s="92" t="s">
        <v>32</v>
      </c>
      <c r="C4" s="8" t="s">
        <v>33</v>
      </c>
      <c r="D4" s="52">
        <v>652348192</v>
      </c>
      <c r="E4" s="9" t="s">
        <v>34</v>
      </c>
      <c r="F4" s="53" t="str">
        <f>IFERROR(VLOOKUP(E4,基础数据!$E$4:$H$4,2,0),"")</f>
        <v>车载电源二合一</v>
      </c>
      <c r="G4" s="52">
        <v>1035</v>
      </c>
      <c r="H4" s="53" t="str">
        <f>IFERROR(VLOOKUP(E4,基础数据!$E$4:$H$4,4,0),"")</f>
        <v>围板箱</v>
      </c>
      <c r="I4" s="53">
        <f>IFERROR(VLOOKUP(E4,基础数据!$E$4:$H$4,3,0),"")</f>
        <v>45</v>
      </c>
      <c r="J4" s="52" t="s">
        <v>35</v>
      </c>
      <c r="K4" s="54">
        <f>IFERROR(G4/I4,"")</f>
        <v>23</v>
      </c>
      <c r="T4" s="33"/>
      <c r="AD4" s="33"/>
      <c r="AN4" s="33"/>
      <c r="AX4" s="33"/>
      <c r="BH4" s="33"/>
      <c r="BR4" s="33"/>
      <c r="CB4" s="33"/>
      <c r="CL4" s="33"/>
      <c r="CV4" s="33"/>
      <c r="DF4" s="33"/>
      <c r="DP4" s="33"/>
      <c r="DZ4" s="33"/>
      <c r="EJ4" s="33"/>
      <c r="ET4" s="33"/>
      <c r="FD4" s="33"/>
      <c r="FN4" s="33"/>
      <c r="FX4" s="33"/>
      <c r="GH4" s="33"/>
      <c r="GR4" s="33"/>
      <c r="HB4" s="33"/>
      <c r="HL4" s="33"/>
      <c r="HV4" s="33"/>
      <c r="IF4" s="33"/>
      <c r="IP4" s="33"/>
      <c r="IZ4" s="33"/>
      <c r="JJ4" s="33"/>
      <c r="JT4" s="33"/>
      <c r="KD4" s="33"/>
      <c r="KN4" s="33"/>
      <c r="KX4" s="33"/>
      <c r="LH4" s="33"/>
      <c r="LR4" s="33"/>
      <c r="MB4" s="33"/>
      <c r="ML4" s="33"/>
      <c r="MV4" s="33"/>
      <c r="NF4" s="33"/>
      <c r="NP4" s="33"/>
      <c r="NZ4" s="33"/>
      <c r="OJ4" s="33"/>
      <c r="OT4" s="33"/>
      <c r="PD4" s="33"/>
      <c r="PN4" s="33"/>
      <c r="PX4" s="33"/>
      <c r="QH4" s="33"/>
      <c r="QR4" s="33"/>
      <c r="RB4" s="33"/>
      <c r="RL4" s="33"/>
      <c r="RV4" s="33"/>
      <c r="SF4" s="33"/>
      <c r="SP4" s="33"/>
      <c r="SZ4" s="33"/>
      <c r="TJ4" s="33"/>
      <c r="TT4" s="33"/>
      <c r="UD4" s="33"/>
      <c r="UN4" s="33"/>
      <c r="UX4" s="33"/>
      <c r="VH4" s="33"/>
      <c r="VR4" s="33"/>
      <c r="WB4" s="33"/>
      <c r="WL4" s="33"/>
      <c r="WV4" s="33"/>
      <c r="XF4" s="33"/>
      <c r="XP4" s="33"/>
      <c r="XZ4" s="33"/>
      <c r="YJ4" s="33"/>
      <c r="YT4" s="33"/>
      <c r="ZD4" s="33"/>
      <c r="ZN4" s="33"/>
      <c r="ZX4" s="33"/>
      <c r="AAH4" s="33"/>
      <c r="AAR4" s="33"/>
      <c r="ABB4" s="33"/>
      <c r="ABL4" s="33"/>
      <c r="ABV4" s="33"/>
      <c r="ACF4" s="33"/>
      <c r="ACP4" s="33"/>
      <c r="ACZ4" s="33"/>
      <c r="ADJ4" s="33"/>
      <c r="ADT4" s="33"/>
      <c r="AED4" s="33"/>
      <c r="AEN4" s="33"/>
      <c r="AEX4" s="33"/>
      <c r="AFH4" s="33"/>
      <c r="AFR4" s="33"/>
      <c r="AGB4" s="33"/>
      <c r="AGL4" s="33"/>
      <c r="AGV4" s="33"/>
      <c r="AHF4" s="33"/>
      <c r="AHP4" s="33"/>
      <c r="AHZ4" s="33"/>
      <c r="AIJ4" s="33"/>
      <c r="AIT4" s="33"/>
      <c r="AJD4" s="33"/>
      <c r="AJN4" s="33"/>
      <c r="AJX4" s="33"/>
      <c r="AKH4" s="33"/>
      <c r="AKR4" s="33"/>
      <c r="ALB4" s="33"/>
      <c r="ALL4" s="33"/>
      <c r="ALV4" s="33"/>
      <c r="AMF4" s="33"/>
      <c r="AMP4" s="33"/>
      <c r="AMZ4" s="33"/>
      <c r="ANJ4" s="33"/>
      <c r="ANT4" s="33"/>
      <c r="AOD4" s="33"/>
      <c r="AON4" s="33"/>
      <c r="AOX4" s="33"/>
      <c r="APH4" s="33"/>
      <c r="APR4" s="33"/>
      <c r="AQB4" s="33"/>
      <c r="AQL4" s="33"/>
      <c r="AQV4" s="33"/>
      <c r="ARF4" s="33"/>
      <c r="ARP4" s="33"/>
      <c r="ARZ4" s="33"/>
      <c r="ASJ4" s="33"/>
      <c r="AST4" s="33"/>
      <c r="ATD4" s="33"/>
      <c r="ATN4" s="33"/>
      <c r="ATX4" s="33"/>
      <c r="AUH4" s="33"/>
      <c r="AUR4" s="33"/>
      <c r="AVB4" s="33"/>
      <c r="AVL4" s="33"/>
      <c r="AVV4" s="33"/>
      <c r="AWF4" s="33"/>
      <c r="AWP4" s="33"/>
      <c r="AWZ4" s="33"/>
      <c r="AXJ4" s="33"/>
      <c r="AXT4" s="33"/>
      <c r="AYD4" s="33"/>
      <c r="AYN4" s="33"/>
      <c r="AYX4" s="33"/>
      <c r="AZH4" s="33"/>
      <c r="AZR4" s="33"/>
      <c r="BAB4" s="33"/>
      <c r="BAL4" s="33"/>
      <c r="BAV4" s="33"/>
      <c r="BBF4" s="33"/>
      <c r="BBP4" s="33"/>
      <c r="BBZ4" s="33"/>
      <c r="BCJ4" s="33"/>
      <c r="BCT4" s="33"/>
      <c r="BDD4" s="33"/>
      <c r="BDN4" s="33"/>
      <c r="BDX4" s="33"/>
      <c r="BEH4" s="33"/>
      <c r="BER4" s="33"/>
      <c r="BFB4" s="33"/>
      <c r="BFL4" s="33"/>
      <c r="BFV4" s="33"/>
      <c r="BGF4" s="33"/>
      <c r="BGP4" s="33"/>
      <c r="BGZ4" s="33"/>
      <c r="BHJ4" s="33"/>
      <c r="BHT4" s="33"/>
      <c r="BID4" s="33"/>
      <c r="BIN4" s="33"/>
      <c r="BIX4" s="33"/>
      <c r="BJH4" s="33"/>
      <c r="BJR4" s="33"/>
      <c r="BKB4" s="33"/>
      <c r="BKL4" s="33"/>
      <c r="BKV4" s="33"/>
      <c r="BLF4" s="33"/>
      <c r="BLP4" s="33"/>
      <c r="BLZ4" s="33"/>
      <c r="BMJ4" s="33"/>
      <c r="BMT4" s="33"/>
      <c r="BND4" s="33"/>
      <c r="BNN4" s="33"/>
      <c r="BNX4" s="33"/>
      <c r="BOH4" s="33"/>
      <c r="BOR4" s="33"/>
      <c r="BPB4" s="33"/>
      <c r="BPL4" s="33"/>
      <c r="BPV4" s="33"/>
      <c r="BQF4" s="33"/>
      <c r="BQP4" s="33"/>
      <c r="BQZ4" s="33"/>
      <c r="BRJ4" s="33"/>
      <c r="BRT4" s="33"/>
      <c r="BSD4" s="33"/>
      <c r="BSN4" s="33"/>
      <c r="BSX4" s="33"/>
      <c r="BTH4" s="33"/>
      <c r="BTR4" s="33"/>
      <c r="BUB4" s="33"/>
      <c r="BUL4" s="33"/>
      <c r="BUV4" s="33"/>
      <c r="BVF4" s="33"/>
      <c r="BVP4" s="33"/>
      <c r="BVZ4" s="33"/>
      <c r="BWJ4" s="33"/>
      <c r="BWT4" s="33"/>
      <c r="BXD4" s="33"/>
      <c r="BXN4" s="33"/>
      <c r="BXX4" s="33"/>
      <c r="BYH4" s="33"/>
      <c r="BYR4" s="33"/>
      <c r="BZB4" s="33"/>
      <c r="BZL4" s="33"/>
      <c r="BZV4" s="33"/>
      <c r="CAF4" s="33"/>
      <c r="CAP4" s="33"/>
      <c r="CAZ4" s="33"/>
      <c r="CBJ4" s="33"/>
      <c r="CBT4" s="33"/>
      <c r="CCD4" s="33"/>
      <c r="CCN4" s="33"/>
      <c r="CCX4" s="33"/>
      <c r="CDH4" s="33"/>
      <c r="CDR4" s="33"/>
      <c r="CEB4" s="33"/>
      <c r="CEL4" s="33"/>
      <c r="CEV4" s="33"/>
      <c r="CFF4" s="33"/>
      <c r="CFP4" s="33"/>
      <c r="CFZ4" s="33"/>
      <c r="CGJ4" s="33"/>
      <c r="CGT4" s="33"/>
      <c r="CHD4" s="33"/>
      <c r="CHN4" s="33"/>
      <c r="CHX4" s="33"/>
      <c r="CIH4" s="33"/>
      <c r="CIR4" s="33"/>
      <c r="CJB4" s="33"/>
      <c r="CJL4" s="33"/>
      <c r="CJV4" s="33"/>
      <c r="CKF4" s="33"/>
      <c r="CKP4" s="33"/>
      <c r="CKZ4" s="33"/>
      <c r="CLJ4" s="33"/>
      <c r="CLT4" s="33"/>
      <c r="CMD4" s="33"/>
      <c r="CMN4" s="33"/>
      <c r="CMX4" s="33"/>
      <c r="CNH4" s="33"/>
      <c r="CNR4" s="33"/>
      <c r="COB4" s="33"/>
      <c r="COL4" s="33"/>
      <c r="COV4" s="33"/>
      <c r="CPF4" s="33"/>
      <c r="CPP4" s="33"/>
      <c r="CPZ4" s="33"/>
      <c r="CQJ4" s="33"/>
      <c r="CQT4" s="33"/>
      <c r="CRD4" s="33"/>
      <c r="CRN4" s="33"/>
      <c r="CRX4" s="33"/>
      <c r="CSH4" s="33"/>
      <c r="CSR4" s="33"/>
      <c r="CTB4" s="33"/>
      <c r="CTL4" s="33"/>
      <c r="CTV4" s="33"/>
    </row>
    <row r="5" s="16" customFormat="1" customHeight="1" spans="1:1020 1030:2040 2050:2570">
      <c r="A5" s="51">
        <v>46149</v>
      </c>
      <c r="B5" s="92" t="s">
        <v>32</v>
      </c>
      <c r="C5" s="8" t="s">
        <v>33</v>
      </c>
      <c r="D5" s="52">
        <v>652354825</v>
      </c>
      <c r="E5" s="9" t="s">
        <v>34</v>
      </c>
      <c r="F5" s="53" t="str">
        <f>IFERROR(VLOOKUP(E5,基础数据!$E$4:$H$4,2,0),"")</f>
        <v>车载电源二合一</v>
      </c>
      <c r="G5" s="52">
        <v>1035</v>
      </c>
      <c r="H5" s="53" t="str">
        <f>IFERROR(VLOOKUP(E5,基础数据!$E$4:$H$4,4,0),"")</f>
        <v>围板箱</v>
      </c>
      <c r="I5" s="53">
        <f>IFERROR(VLOOKUP(E5,基础数据!$E$4:$H$4,3,0),"")</f>
        <v>45</v>
      </c>
      <c r="J5" s="52" t="s">
        <v>35</v>
      </c>
      <c r="K5" s="54">
        <f>IFERROR(G5/I5,"")</f>
        <v>23</v>
      </c>
      <c r="T5" s="33"/>
      <c r="AD5" s="33"/>
      <c r="AN5" s="33"/>
      <c r="AX5" s="33"/>
      <c r="BH5" s="33"/>
      <c r="BR5" s="33"/>
      <c r="CB5" s="33"/>
      <c r="CL5" s="33"/>
      <c r="CV5" s="33"/>
      <c r="DF5" s="33"/>
      <c r="DP5" s="33"/>
      <c r="DZ5" s="33"/>
      <c r="EJ5" s="33"/>
      <c r="ET5" s="33"/>
      <c r="FD5" s="33"/>
      <c r="FN5" s="33"/>
      <c r="FX5" s="33"/>
      <c r="GH5" s="33"/>
      <c r="GR5" s="33"/>
      <c r="HB5" s="33"/>
      <c r="HL5" s="33"/>
      <c r="HV5" s="33"/>
      <c r="IF5" s="33"/>
      <c r="IP5" s="33"/>
      <c r="IZ5" s="33"/>
      <c r="JJ5" s="33"/>
      <c r="JT5" s="33"/>
      <c r="KD5" s="33"/>
      <c r="KN5" s="33"/>
      <c r="KX5" s="33"/>
      <c r="LH5" s="33"/>
      <c r="LR5" s="33"/>
      <c r="MB5" s="33"/>
      <c r="ML5" s="33"/>
      <c r="MV5" s="33"/>
      <c r="NF5" s="33"/>
      <c r="NP5" s="33"/>
      <c r="NZ5" s="33"/>
      <c r="OJ5" s="33"/>
      <c r="OT5" s="33"/>
      <c r="PD5" s="33"/>
      <c r="PN5" s="33"/>
      <c r="PX5" s="33"/>
      <c r="QH5" s="33"/>
      <c r="QR5" s="33"/>
      <c r="RB5" s="33"/>
      <c r="RL5" s="33"/>
      <c r="RV5" s="33"/>
      <c r="SF5" s="33"/>
      <c r="SP5" s="33"/>
      <c r="SZ5" s="33"/>
      <c r="TJ5" s="33"/>
      <c r="TT5" s="33"/>
      <c r="UD5" s="33"/>
      <c r="UN5" s="33"/>
      <c r="UX5" s="33"/>
      <c r="VH5" s="33"/>
      <c r="VR5" s="33"/>
      <c r="WB5" s="33"/>
      <c r="WL5" s="33"/>
      <c r="WV5" s="33"/>
      <c r="XF5" s="33"/>
      <c r="XP5" s="33"/>
      <c r="XZ5" s="33"/>
      <c r="YJ5" s="33"/>
      <c r="YT5" s="33"/>
      <c r="ZD5" s="33"/>
      <c r="ZN5" s="33"/>
      <c r="ZX5" s="33"/>
      <c r="AAH5" s="33"/>
      <c r="AAR5" s="33"/>
      <c r="ABB5" s="33"/>
      <c r="ABL5" s="33"/>
      <c r="ABV5" s="33"/>
      <c r="ACF5" s="33"/>
      <c r="ACP5" s="33"/>
      <c r="ACZ5" s="33"/>
      <c r="ADJ5" s="33"/>
      <c r="ADT5" s="33"/>
      <c r="AED5" s="33"/>
      <c r="AEN5" s="33"/>
      <c r="AEX5" s="33"/>
      <c r="AFH5" s="33"/>
      <c r="AFR5" s="33"/>
      <c r="AGB5" s="33"/>
      <c r="AGL5" s="33"/>
      <c r="AGV5" s="33"/>
      <c r="AHF5" s="33"/>
      <c r="AHP5" s="33"/>
      <c r="AHZ5" s="33"/>
      <c r="AIJ5" s="33"/>
      <c r="AIT5" s="33"/>
      <c r="AJD5" s="33"/>
      <c r="AJN5" s="33"/>
      <c r="AJX5" s="33"/>
      <c r="AKH5" s="33"/>
      <c r="AKR5" s="33"/>
      <c r="ALB5" s="33"/>
      <c r="ALL5" s="33"/>
      <c r="ALV5" s="33"/>
      <c r="AMF5" s="33"/>
      <c r="AMP5" s="33"/>
      <c r="AMZ5" s="33"/>
      <c r="ANJ5" s="33"/>
      <c r="ANT5" s="33"/>
      <c r="AOD5" s="33"/>
      <c r="AON5" s="33"/>
      <c r="AOX5" s="33"/>
      <c r="APH5" s="33"/>
      <c r="APR5" s="33"/>
      <c r="AQB5" s="33"/>
      <c r="AQL5" s="33"/>
      <c r="AQV5" s="33"/>
      <c r="ARF5" s="33"/>
      <c r="ARP5" s="33"/>
      <c r="ARZ5" s="33"/>
      <c r="ASJ5" s="33"/>
      <c r="AST5" s="33"/>
      <c r="ATD5" s="33"/>
      <c r="ATN5" s="33"/>
      <c r="ATX5" s="33"/>
      <c r="AUH5" s="33"/>
      <c r="AUR5" s="33"/>
      <c r="AVB5" s="33"/>
      <c r="AVL5" s="33"/>
      <c r="AVV5" s="33"/>
      <c r="AWF5" s="33"/>
      <c r="AWP5" s="33"/>
      <c r="AWZ5" s="33"/>
      <c r="AXJ5" s="33"/>
      <c r="AXT5" s="33"/>
      <c r="AYD5" s="33"/>
      <c r="AYN5" s="33"/>
      <c r="AYX5" s="33"/>
      <c r="AZH5" s="33"/>
      <c r="AZR5" s="33"/>
      <c r="BAB5" s="33"/>
      <c r="BAL5" s="33"/>
      <c r="BAV5" s="33"/>
      <c r="BBF5" s="33"/>
      <c r="BBP5" s="33"/>
      <c r="BBZ5" s="33"/>
      <c r="BCJ5" s="33"/>
      <c r="BCT5" s="33"/>
      <c r="BDD5" s="33"/>
      <c r="BDN5" s="33"/>
      <c r="BDX5" s="33"/>
      <c r="BEH5" s="33"/>
      <c r="BER5" s="33"/>
      <c r="BFB5" s="33"/>
      <c r="BFL5" s="33"/>
      <c r="BFV5" s="33"/>
      <c r="BGF5" s="33"/>
      <c r="BGP5" s="33"/>
      <c r="BGZ5" s="33"/>
      <c r="BHJ5" s="33"/>
      <c r="BHT5" s="33"/>
      <c r="BID5" s="33"/>
      <c r="BIN5" s="33"/>
      <c r="BIX5" s="33"/>
      <c r="BJH5" s="33"/>
      <c r="BJR5" s="33"/>
      <c r="BKB5" s="33"/>
      <c r="BKL5" s="33"/>
      <c r="BKV5" s="33"/>
      <c r="BLF5" s="33"/>
      <c r="BLP5" s="33"/>
      <c r="BLZ5" s="33"/>
      <c r="BMJ5" s="33"/>
      <c r="BMT5" s="33"/>
      <c r="BND5" s="33"/>
      <c r="BNN5" s="33"/>
      <c r="BNX5" s="33"/>
      <c r="BOH5" s="33"/>
      <c r="BOR5" s="33"/>
      <c r="BPB5" s="33"/>
      <c r="BPL5" s="33"/>
      <c r="BPV5" s="33"/>
      <c r="BQF5" s="33"/>
      <c r="BQP5" s="33"/>
      <c r="BQZ5" s="33"/>
      <c r="BRJ5" s="33"/>
      <c r="BRT5" s="33"/>
      <c r="BSD5" s="33"/>
      <c r="BSN5" s="33"/>
      <c r="BSX5" s="33"/>
      <c r="BTH5" s="33"/>
      <c r="BTR5" s="33"/>
      <c r="BUB5" s="33"/>
      <c r="BUL5" s="33"/>
      <c r="BUV5" s="33"/>
      <c r="BVF5" s="33"/>
      <c r="BVP5" s="33"/>
      <c r="BVZ5" s="33"/>
      <c r="BWJ5" s="33"/>
      <c r="BWT5" s="33"/>
      <c r="BXD5" s="33"/>
      <c r="BXN5" s="33"/>
      <c r="BXX5" s="33"/>
      <c r="BYH5" s="33"/>
      <c r="BYR5" s="33"/>
      <c r="BZB5" s="33"/>
      <c r="BZL5" s="33"/>
      <c r="BZV5" s="33"/>
      <c r="CAF5" s="33"/>
      <c r="CAP5" s="33"/>
      <c r="CAZ5" s="33"/>
      <c r="CBJ5" s="33"/>
      <c r="CBT5" s="33"/>
      <c r="CCD5" s="33"/>
      <c r="CCN5" s="33"/>
      <c r="CCX5" s="33"/>
      <c r="CDH5" s="33"/>
      <c r="CDR5" s="33"/>
      <c r="CEB5" s="33"/>
      <c r="CEL5" s="33"/>
      <c r="CEV5" s="33"/>
      <c r="CFF5" s="33"/>
      <c r="CFP5" s="33"/>
      <c r="CFZ5" s="33"/>
      <c r="CGJ5" s="33"/>
      <c r="CGT5" s="33"/>
      <c r="CHD5" s="33"/>
      <c r="CHN5" s="33"/>
      <c r="CHX5" s="33"/>
      <c r="CIH5" s="33"/>
      <c r="CIR5" s="33"/>
      <c r="CJB5" s="33"/>
      <c r="CJL5" s="33"/>
      <c r="CJV5" s="33"/>
      <c r="CKF5" s="33"/>
      <c r="CKP5" s="33"/>
      <c r="CKZ5" s="33"/>
      <c r="CLJ5" s="33"/>
      <c r="CLT5" s="33"/>
      <c r="CMD5" s="33"/>
      <c r="CMN5" s="33"/>
      <c r="CMX5" s="33"/>
      <c r="CNH5" s="33"/>
      <c r="CNR5" s="33"/>
      <c r="COB5" s="33"/>
      <c r="COL5" s="33"/>
      <c r="COV5" s="33"/>
      <c r="CPF5" s="33"/>
      <c r="CPP5" s="33"/>
      <c r="CPZ5" s="33"/>
      <c r="CQJ5" s="33"/>
      <c r="CQT5" s="33"/>
      <c r="CRD5" s="33"/>
      <c r="CRN5" s="33"/>
      <c r="CRX5" s="33"/>
      <c r="CSH5" s="33"/>
      <c r="CSR5" s="33"/>
      <c r="CTB5" s="33"/>
      <c r="CTL5" s="33"/>
      <c r="CTV5" s="33"/>
    </row>
    <row r="6" s="16" customFormat="1" customHeight="1" spans="1:1020 1030:2040 2050:2570">
      <c r="A6" s="51"/>
      <c r="B6" s="7"/>
      <c r="C6" s="8"/>
      <c r="D6" s="52"/>
      <c r="E6" s="9"/>
      <c r="F6" s="53"/>
      <c r="G6" s="52"/>
      <c r="H6" s="53"/>
      <c r="I6" s="53"/>
      <c r="J6" s="52"/>
      <c r="K6" s="54"/>
      <c r="T6" s="33"/>
      <c r="AD6" s="33"/>
      <c r="AN6" s="33"/>
      <c r="AX6" s="33"/>
      <c r="BH6" s="33"/>
      <c r="BR6" s="33"/>
      <c r="CB6" s="33"/>
      <c r="CL6" s="33"/>
      <c r="CV6" s="33"/>
      <c r="DF6" s="33"/>
      <c r="DP6" s="33"/>
      <c r="DZ6" s="33"/>
      <c r="EJ6" s="33"/>
      <c r="ET6" s="33"/>
      <c r="FD6" s="33"/>
      <c r="FN6" s="33"/>
      <c r="FX6" s="33"/>
      <c r="GH6" s="33"/>
      <c r="GR6" s="33"/>
      <c r="HB6" s="33"/>
      <c r="HL6" s="33"/>
      <c r="HV6" s="33"/>
      <c r="IF6" s="33"/>
      <c r="IP6" s="33"/>
      <c r="IZ6" s="33"/>
      <c r="JJ6" s="33"/>
      <c r="JT6" s="33"/>
      <c r="KD6" s="33"/>
      <c r="KN6" s="33"/>
      <c r="KX6" s="33"/>
      <c r="LH6" s="33"/>
      <c r="LR6" s="33"/>
      <c r="MB6" s="33"/>
      <c r="ML6" s="33"/>
      <c r="MV6" s="33"/>
      <c r="NF6" s="33"/>
      <c r="NP6" s="33"/>
      <c r="NZ6" s="33"/>
      <c r="OJ6" s="33"/>
      <c r="OT6" s="33"/>
      <c r="PD6" s="33"/>
      <c r="PN6" s="33"/>
      <c r="PX6" s="33"/>
      <c r="QH6" s="33"/>
      <c r="QR6" s="33"/>
      <c r="RB6" s="33"/>
      <c r="RL6" s="33"/>
      <c r="RV6" s="33"/>
      <c r="SF6" s="33"/>
      <c r="SP6" s="33"/>
      <c r="SZ6" s="33"/>
      <c r="TJ6" s="33"/>
      <c r="TT6" s="33"/>
      <c r="UD6" s="33"/>
      <c r="UN6" s="33"/>
      <c r="UX6" s="33"/>
      <c r="VH6" s="33"/>
      <c r="VR6" s="33"/>
      <c r="WB6" s="33"/>
      <c r="WL6" s="33"/>
      <c r="WV6" s="33"/>
      <c r="XF6" s="33"/>
      <c r="XP6" s="33"/>
      <c r="XZ6" s="33"/>
      <c r="YJ6" s="33"/>
      <c r="YT6" s="33"/>
      <c r="ZD6" s="33"/>
      <c r="ZN6" s="33"/>
      <c r="ZX6" s="33"/>
      <c r="AAH6" s="33"/>
      <c r="AAR6" s="33"/>
      <c r="ABB6" s="33"/>
      <c r="ABL6" s="33"/>
      <c r="ABV6" s="33"/>
      <c r="ACF6" s="33"/>
      <c r="ACP6" s="33"/>
      <c r="ACZ6" s="33"/>
      <c r="ADJ6" s="33"/>
      <c r="ADT6" s="33"/>
      <c r="AED6" s="33"/>
      <c r="AEN6" s="33"/>
      <c r="AEX6" s="33"/>
      <c r="AFH6" s="33"/>
      <c r="AFR6" s="33"/>
      <c r="AGB6" s="33"/>
      <c r="AGL6" s="33"/>
      <c r="AGV6" s="33"/>
      <c r="AHF6" s="33"/>
      <c r="AHP6" s="33"/>
      <c r="AHZ6" s="33"/>
      <c r="AIJ6" s="33"/>
      <c r="AIT6" s="33"/>
      <c r="AJD6" s="33"/>
      <c r="AJN6" s="33"/>
      <c r="AJX6" s="33"/>
      <c r="AKH6" s="33"/>
      <c r="AKR6" s="33"/>
      <c r="ALB6" s="33"/>
      <c r="ALL6" s="33"/>
      <c r="ALV6" s="33"/>
      <c r="AMF6" s="33"/>
      <c r="AMP6" s="33"/>
      <c r="AMZ6" s="33"/>
      <c r="ANJ6" s="33"/>
      <c r="ANT6" s="33"/>
      <c r="AOD6" s="33"/>
      <c r="AON6" s="33"/>
      <c r="AOX6" s="33"/>
      <c r="APH6" s="33"/>
      <c r="APR6" s="33"/>
      <c r="AQB6" s="33"/>
      <c r="AQL6" s="33"/>
      <c r="AQV6" s="33"/>
      <c r="ARF6" s="33"/>
      <c r="ARP6" s="33"/>
      <c r="ARZ6" s="33"/>
      <c r="ASJ6" s="33"/>
      <c r="AST6" s="33"/>
      <c r="ATD6" s="33"/>
      <c r="ATN6" s="33"/>
      <c r="ATX6" s="33"/>
      <c r="AUH6" s="33"/>
      <c r="AUR6" s="33"/>
      <c r="AVB6" s="33"/>
      <c r="AVL6" s="33"/>
      <c r="AVV6" s="33"/>
      <c r="AWF6" s="33"/>
      <c r="AWP6" s="33"/>
      <c r="AWZ6" s="33"/>
      <c r="AXJ6" s="33"/>
      <c r="AXT6" s="33"/>
      <c r="AYD6" s="33"/>
      <c r="AYN6" s="33"/>
      <c r="AYX6" s="33"/>
      <c r="AZH6" s="33"/>
      <c r="AZR6" s="33"/>
      <c r="BAB6" s="33"/>
      <c r="BAL6" s="33"/>
      <c r="BAV6" s="33"/>
      <c r="BBF6" s="33"/>
      <c r="BBP6" s="33"/>
      <c r="BBZ6" s="33"/>
      <c r="BCJ6" s="33"/>
      <c r="BCT6" s="33"/>
      <c r="BDD6" s="33"/>
      <c r="BDN6" s="33"/>
      <c r="BDX6" s="33"/>
      <c r="BEH6" s="33"/>
      <c r="BER6" s="33"/>
      <c r="BFB6" s="33"/>
      <c r="BFL6" s="33"/>
      <c r="BFV6" s="33"/>
      <c r="BGF6" s="33"/>
      <c r="BGP6" s="33"/>
      <c r="BGZ6" s="33"/>
      <c r="BHJ6" s="33"/>
      <c r="BHT6" s="33"/>
      <c r="BID6" s="33"/>
      <c r="BIN6" s="33"/>
      <c r="BIX6" s="33"/>
      <c r="BJH6" s="33"/>
      <c r="BJR6" s="33"/>
      <c r="BKB6" s="33"/>
      <c r="BKL6" s="33"/>
      <c r="BKV6" s="33"/>
      <c r="BLF6" s="33"/>
      <c r="BLP6" s="33"/>
      <c r="BLZ6" s="33"/>
      <c r="BMJ6" s="33"/>
      <c r="BMT6" s="33"/>
      <c r="BND6" s="33"/>
      <c r="BNN6" s="33"/>
      <c r="BNX6" s="33"/>
      <c r="BOH6" s="33"/>
      <c r="BOR6" s="33"/>
      <c r="BPB6" s="33"/>
      <c r="BPL6" s="33"/>
      <c r="BPV6" s="33"/>
      <c r="BQF6" s="33"/>
      <c r="BQP6" s="33"/>
      <c r="BQZ6" s="33"/>
      <c r="BRJ6" s="33"/>
      <c r="BRT6" s="33"/>
      <c r="BSD6" s="33"/>
      <c r="BSN6" s="33"/>
      <c r="BSX6" s="33"/>
      <c r="BTH6" s="33"/>
      <c r="BTR6" s="33"/>
      <c r="BUB6" s="33"/>
      <c r="BUL6" s="33"/>
      <c r="BUV6" s="33"/>
      <c r="BVF6" s="33"/>
      <c r="BVP6" s="33"/>
      <c r="BVZ6" s="33"/>
      <c r="BWJ6" s="33"/>
      <c r="BWT6" s="33"/>
      <c r="BXD6" s="33"/>
      <c r="BXN6" s="33"/>
      <c r="BXX6" s="33"/>
      <c r="BYH6" s="33"/>
      <c r="BYR6" s="33"/>
      <c r="BZB6" s="33"/>
      <c r="BZL6" s="33"/>
      <c r="BZV6" s="33"/>
      <c r="CAF6" s="33"/>
      <c r="CAP6" s="33"/>
      <c r="CAZ6" s="33"/>
      <c r="CBJ6" s="33"/>
      <c r="CBT6" s="33"/>
      <c r="CCD6" s="33"/>
      <c r="CCN6" s="33"/>
      <c r="CCX6" s="33"/>
      <c r="CDH6" s="33"/>
      <c r="CDR6" s="33"/>
      <c r="CEB6" s="33"/>
      <c r="CEL6" s="33"/>
      <c r="CEV6" s="33"/>
      <c r="CFF6" s="33"/>
      <c r="CFP6" s="33"/>
      <c r="CFZ6" s="33"/>
      <c r="CGJ6" s="33"/>
      <c r="CGT6" s="33"/>
      <c r="CHD6" s="33"/>
      <c r="CHN6" s="33"/>
      <c r="CHX6" s="33"/>
      <c r="CIH6" s="33"/>
      <c r="CIR6" s="33"/>
      <c r="CJB6" s="33"/>
      <c r="CJL6" s="33"/>
      <c r="CJV6" s="33"/>
      <c r="CKF6" s="33"/>
      <c r="CKP6" s="33"/>
      <c r="CKZ6" s="33"/>
      <c r="CLJ6" s="33"/>
      <c r="CLT6" s="33"/>
      <c r="CMD6" s="33"/>
      <c r="CMN6" s="33"/>
      <c r="CMX6" s="33"/>
      <c r="CNH6" s="33"/>
      <c r="CNR6" s="33"/>
      <c r="COB6" s="33"/>
      <c r="COL6" s="33"/>
      <c r="COV6" s="33"/>
      <c r="CPF6" s="33"/>
      <c r="CPP6" s="33"/>
      <c r="CPZ6" s="33"/>
      <c r="CQJ6" s="33"/>
      <c r="CQT6" s="33"/>
      <c r="CRD6" s="33"/>
      <c r="CRN6" s="33"/>
      <c r="CRX6" s="33"/>
      <c r="CSH6" s="33"/>
      <c r="CSR6" s="33"/>
      <c r="CTB6" s="33"/>
      <c r="CTL6" s="33"/>
      <c r="CTV6" s="33"/>
    </row>
    <row r="7" s="16" customFormat="1" customHeight="1" spans="1:1020 1030:2040 2050:2570">
      <c r="A7" s="51"/>
      <c r="B7" s="7"/>
      <c r="C7" s="8"/>
      <c r="D7" s="52"/>
      <c r="E7" s="9"/>
      <c r="F7" s="53"/>
      <c r="G7" s="52"/>
      <c r="H7" s="53"/>
      <c r="I7" s="53"/>
      <c r="J7" s="52"/>
      <c r="K7" s="54"/>
      <c r="T7" s="33"/>
      <c r="AD7" s="33"/>
      <c r="AN7" s="33"/>
      <c r="AX7" s="33"/>
      <c r="BH7" s="33"/>
      <c r="BR7" s="33"/>
      <c r="CB7" s="33"/>
      <c r="CL7" s="33"/>
      <c r="CV7" s="33"/>
      <c r="DF7" s="33"/>
      <c r="DP7" s="33"/>
      <c r="DZ7" s="33"/>
      <c r="EJ7" s="33"/>
      <c r="ET7" s="33"/>
      <c r="FD7" s="33"/>
      <c r="FN7" s="33"/>
      <c r="FX7" s="33"/>
      <c r="GH7" s="33"/>
      <c r="GR7" s="33"/>
      <c r="HB7" s="33"/>
      <c r="HL7" s="33"/>
      <c r="HV7" s="33"/>
      <c r="IF7" s="33"/>
      <c r="IP7" s="33"/>
      <c r="IZ7" s="33"/>
      <c r="JJ7" s="33"/>
      <c r="JT7" s="33"/>
      <c r="KD7" s="33"/>
      <c r="KN7" s="33"/>
      <c r="KX7" s="33"/>
      <c r="LH7" s="33"/>
      <c r="LR7" s="33"/>
      <c r="MB7" s="33"/>
      <c r="ML7" s="33"/>
      <c r="MV7" s="33"/>
      <c r="NF7" s="33"/>
      <c r="NP7" s="33"/>
      <c r="NZ7" s="33"/>
      <c r="OJ7" s="33"/>
      <c r="OT7" s="33"/>
      <c r="PD7" s="33"/>
      <c r="PN7" s="33"/>
      <c r="PX7" s="33"/>
      <c r="QH7" s="33"/>
      <c r="QR7" s="33"/>
      <c r="RB7" s="33"/>
      <c r="RL7" s="33"/>
      <c r="RV7" s="33"/>
      <c r="SF7" s="33"/>
      <c r="SP7" s="33"/>
      <c r="SZ7" s="33"/>
      <c r="TJ7" s="33"/>
      <c r="TT7" s="33"/>
      <c r="UD7" s="33"/>
      <c r="UN7" s="33"/>
      <c r="UX7" s="33"/>
      <c r="VH7" s="33"/>
      <c r="VR7" s="33"/>
      <c r="WB7" s="33"/>
      <c r="WL7" s="33"/>
      <c r="WV7" s="33"/>
      <c r="XF7" s="33"/>
      <c r="XP7" s="33"/>
      <c r="XZ7" s="33"/>
      <c r="YJ7" s="33"/>
      <c r="YT7" s="33"/>
      <c r="ZD7" s="33"/>
      <c r="ZN7" s="33"/>
      <c r="ZX7" s="33"/>
      <c r="AAH7" s="33"/>
      <c r="AAR7" s="33"/>
      <c r="ABB7" s="33"/>
      <c r="ABL7" s="33"/>
      <c r="ABV7" s="33"/>
      <c r="ACF7" s="33"/>
      <c r="ACP7" s="33"/>
      <c r="ACZ7" s="33"/>
      <c r="ADJ7" s="33"/>
      <c r="ADT7" s="33"/>
      <c r="AED7" s="33"/>
      <c r="AEN7" s="33"/>
      <c r="AEX7" s="33"/>
      <c r="AFH7" s="33"/>
      <c r="AFR7" s="33"/>
      <c r="AGB7" s="33"/>
      <c r="AGL7" s="33"/>
      <c r="AGV7" s="33"/>
      <c r="AHF7" s="33"/>
      <c r="AHP7" s="33"/>
      <c r="AHZ7" s="33"/>
      <c r="AIJ7" s="33"/>
      <c r="AIT7" s="33"/>
      <c r="AJD7" s="33"/>
      <c r="AJN7" s="33"/>
      <c r="AJX7" s="33"/>
      <c r="AKH7" s="33"/>
      <c r="AKR7" s="33"/>
      <c r="ALB7" s="33"/>
      <c r="ALL7" s="33"/>
      <c r="ALV7" s="33"/>
      <c r="AMF7" s="33"/>
      <c r="AMP7" s="33"/>
      <c r="AMZ7" s="33"/>
      <c r="ANJ7" s="33"/>
      <c r="ANT7" s="33"/>
      <c r="AOD7" s="33"/>
      <c r="AON7" s="33"/>
      <c r="AOX7" s="33"/>
      <c r="APH7" s="33"/>
      <c r="APR7" s="33"/>
      <c r="AQB7" s="33"/>
      <c r="AQL7" s="33"/>
      <c r="AQV7" s="33"/>
      <c r="ARF7" s="33"/>
      <c r="ARP7" s="33"/>
      <c r="ARZ7" s="33"/>
      <c r="ASJ7" s="33"/>
      <c r="AST7" s="33"/>
      <c r="ATD7" s="33"/>
      <c r="ATN7" s="33"/>
      <c r="ATX7" s="33"/>
      <c r="AUH7" s="33"/>
      <c r="AUR7" s="33"/>
      <c r="AVB7" s="33"/>
      <c r="AVL7" s="33"/>
      <c r="AVV7" s="33"/>
      <c r="AWF7" s="33"/>
      <c r="AWP7" s="33"/>
      <c r="AWZ7" s="33"/>
      <c r="AXJ7" s="33"/>
      <c r="AXT7" s="33"/>
      <c r="AYD7" s="33"/>
      <c r="AYN7" s="33"/>
      <c r="AYX7" s="33"/>
      <c r="AZH7" s="33"/>
      <c r="AZR7" s="33"/>
      <c r="BAB7" s="33"/>
      <c r="BAL7" s="33"/>
      <c r="BAV7" s="33"/>
      <c r="BBF7" s="33"/>
      <c r="BBP7" s="33"/>
      <c r="BBZ7" s="33"/>
      <c r="BCJ7" s="33"/>
      <c r="BCT7" s="33"/>
      <c r="BDD7" s="33"/>
      <c r="BDN7" s="33"/>
      <c r="BDX7" s="33"/>
      <c r="BEH7" s="33"/>
      <c r="BER7" s="33"/>
      <c r="BFB7" s="33"/>
      <c r="BFL7" s="33"/>
      <c r="BFV7" s="33"/>
      <c r="BGF7" s="33"/>
      <c r="BGP7" s="33"/>
      <c r="BGZ7" s="33"/>
      <c r="BHJ7" s="33"/>
      <c r="BHT7" s="33"/>
      <c r="BID7" s="33"/>
      <c r="BIN7" s="33"/>
      <c r="BIX7" s="33"/>
      <c r="BJH7" s="33"/>
      <c r="BJR7" s="33"/>
      <c r="BKB7" s="33"/>
      <c r="BKL7" s="33"/>
      <c r="BKV7" s="33"/>
      <c r="BLF7" s="33"/>
      <c r="BLP7" s="33"/>
      <c r="BLZ7" s="33"/>
      <c r="BMJ7" s="33"/>
      <c r="BMT7" s="33"/>
      <c r="BND7" s="33"/>
      <c r="BNN7" s="33"/>
      <c r="BNX7" s="33"/>
      <c r="BOH7" s="33"/>
      <c r="BOR7" s="33"/>
      <c r="BPB7" s="33"/>
      <c r="BPL7" s="33"/>
      <c r="BPV7" s="33"/>
      <c r="BQF7" s="33"/>
      <c r="BQP7" s="33"/>
      <c r="BQZ7" s="33"/>
      <c r="BRJ7" s="33"/>
      <c r="BRT7" s="33"/>
      <c r="BSD7" s="33"/>
      <c r="BSN7" s="33"/>
      <c r="BSX7" s="33"/>
      <c r="BTH7" s="33"/>
      <c r="BTR7" s="33"/>
      <c r="BUB7" s="33"/>
      <c r="BUL7" s="33"/>
      <c r="BUV7" s="33"/>
      <c r="BVF7" s="33"/>
      <c r="BVP7" s="33"/>
      <c r="BVZ7" s="33"/>
      <c r="BWJ7" s="33"/>
      <c r="BWT7" s="33"/>
      <c r="BXD7" s="33"/>
      <c r="BXN7" s="33"/>
      <c r="BXX7" s="33"/>
      <c r="BYH7" s="33"/>
      <c r="BYR7" s="33"/>
      <c r="BZB7" s="33"/>
      <c r="BZL7" s="33"/>
      <c r="BZV7" s="33"/>
      <c r="CAF7" s="33"/>
      <c r="CAP7" s="33"/>
      <c r="CAZ7" s="33"/>
      <c r="CBJ7" s="33"/>
      <c r="CBT7" s="33"/>
      <c r="CCD7" s="33"/>
      <c r="CCN7" s="33"/>
      <c r="CCX7" s="33"/>
      <c r="CDH7" s="33"/>
      <c r="CDR7" s="33"/>
      <c r="CEB7" s="33"/>
      <c r="CEL7" s="33"/>
      <c r="CEV7" s="33"/>
      <c r="CFF7" s="33"/>
      <c r="CFP7" s="33"/>
      <c r="CFZ7" s="33"/>
      <c r="CGJ7" s="33"/>
      <c r="CGT7" s="33"/>
      <c r="CHD7" s="33"/>
      <c r="CHN7" s="33"/>
      <c r="CHX7" s="33"/>
      <c r="CIH7" s="33"/>
      <c r="CIR7" s="33"/>
      <c r="CJB7" s="33"/>
      <c r="CJL7" s="33"/>
      <c r="CJV7" s="33"/>
      <c r="CKF7" s="33"/>
      <c r="CKP7" s="33"/>
      <c r="CKZ7" s="33"/>
      <c r="CLJ7" s="33"/>
      <c r="CLT7" s="33"/>
      <c r="CMD7" s="33"/>
      <c r="CMN7" s="33"/>
      <c r="CMX7" s="33"/>
      <c r="CNH7" s="33"/>
      <c r="CNR7" s="33"/>
      <c r="COB7" s="33"/>
      <c r="COL7" s="33"/>
      <c r="COV7" s="33"/>
      <c r="CPF7" s="33"/>
      <c r="CPP7" s="33"/>
      <c r="CPZ7" s="33"/>
      <c r="CQJ7" s="33"/>
      <c r="CQT7" s="33"/>
      <c r="CRD7" s="33"/>
      <c r="CRN7" s="33"/>
      <c r="CRX7" s="33"/>
      <c r="CSH7" s="33"/>
      <c r="CSR7" s="33"/>
      <c r="CTB7" s="33"/>
      <c r="CTL7" s="33"/>
      <c r="CTV7" s="33"/>
    </row>
    <row r="8" s="16" customFormat="1" customHeight="1" spans="1:1020 1030:2040 2050:2570">
      <c r="A8" s="51"/>
      <c r="B8" s="7"/>
      <c r="C8" s="8"/>
      <c r="D8" s="52"/>
      <c r="E8" s="9"/>
      <c r="F8" s="53"/>
      <c r="G8" s="52"/>
      <c r="H8" s="53"/>
      <c r="I8" s="53"/>
      <c r="J8" s="52"/>
      <c r="K8" s="54"/>
      <c r="T8" s="33"/>
      <c r="AD8" s="33"/>
      <c r="AN8" s="33"/>
      <c r="AX8" s="33"/>
      <c r="BH8" s="33"/>
      <c r="BR8" s="33"/>
      <c r="CB8" s="33"/>
      <c r="CL8" s="33"/>
      <c r="CV8" s="33"/>
      <c r="DF8" s="33"/>
      <c r="DP8" s="33"/>
      <c r="DZ8" s="33"/>
      <c r="EJ8" s="33"/>
      <c r="ET8" s="33"/>
      <c r="FD8" s="33"/>
      <c r="FN8" s="33"/>
      <c r="FX8" s="33"/>
      <c r="GH8" s="33"/>
      <c r="GR8" s="33"/>
      <c r="HB8" s="33"/>
      <c r="HL8" s="33"/>
      <c r="HV8" s="33"/>
      <c r="IF8" s="33"/>
      <c r="IP8" s="33"/>
      <c r="IZ8" s="33"/>
      <c r="JJ8" s="33"/>
      <c r="JT8" s="33"/>
      <c r="KD8" s="33"/>
      <c r="KN8" s="33"/>
      <c r="KX8" s="33"/>
      <c r="LH8" s="33"/>
      <c r="LR8" s="33"/>
      <c r="MB8" s="33"/>
      <c r="ML8" s="33"/>
      <c r="MV8" s="33"/>
      <c r="NF8" s="33"/>
      <c r="NP8" s="33"/>
      <c r="NZ8" s="33"/>
      <c r="OJ8" s="33"/>
      <c r="OT8" s="33"/>
      <c r="PD8" s="33"/>
      <c r="PN8" s="33"/>
      <c r="PX8" s="33"/>
      <c r="QH8" s="33"/>
      <c r="QR8" s="33"/>
      <c r="RB8" s="33"/>
      <c r="RL8" s="33"/>
      <c r="RV8" s="33"/>
      <c r="SF8" s="33"/>
      <c r="SP8" s="33"/>
      <c r="SZ8" s="33"/>
      <c r="TJ8" s="33"/>
      <c r="TT8" s="33"/>
      <c r="UD8" s="33"/>
      <c r="UN8" s="33"/>
      <c r="UX8" s="33"/>
      <c r="VH8" s="33"/>
      <c r="VR8" s="33"/>
      <c r="WB8" s="33"/>
      <c r="WL8" s="33"/>
      <c r="WV8" s="33"/>
      <c r="XF8" s="33"/>
      <c r="XP8" s="33"/>
      <c r="XZ8" s="33"/>
      <c r="YJ8" s="33"/>
      <c r="YT8" s="33"/>
      <c r="ZD8" s="33"/>
      <c r="ZN8" s="33"/>
      <c r="ZX8" s="33"/>
      <c r="AAH8" s="33"/>
      <c r="AAR8" s="33"/>
      <c r="ABB8" s="33"/>
      <c r="ABL8" s="33"/>
      <c r="ABV8" s="33"/>
      <c r="ACF8" s="33"/>
      <c r="ACP8" s="33"/>
      <c r="ACZ8" s="33"/>
      <c r="ADJ8" s="33"/>
      <c r="ADT8" s="33"/>
      <c r="AED8" s="33"/>
      <c r="AEN8" s="33"/>
      <c r="AEX8" s="33"/>
      <c r="AFH8" s="33"/>
      <c r="AFR8" s="33"/>
      <c r="AGB8" s="33"/>
      <c r="AGL8" s="33"/>
      <c r="AGV8" s="33"/>
      <c r="AHF8" s="33"/>
      <c r="AHP8" s="33"/>
      <c r="AHZ8" s="33"/>
      <c r="AIJ8" s="33"/>
      <c r="AIT8" s="33"/>
      <c r="AJD8" s="33"/>
      <c r="AJN8" s="33"/>
      <c r="AJX8" s="33"/>
      <c r="AKH8" s="33"/>
      <c r="AKR8" s="33"/>
      <c r="ALB8" s="33"/>
      <c r="ALL8" s="33"/>
      <c r="ALV8" s="33"/>
      <c r="AMF8" s="33"/>
      <c r="AMP8" s="33"/>
      <c r="AMZ8" s="33"/>
      <c r="ANJ8" s="33"/>
      <c r="ANT8" s="33"/>
      <c r="AOD8" s="33"/>
      <c r="AON8" s="33"/>
      <c r="AOX8" s="33"/>
      <c r="APH8" s="33"/>
      <c r="APR8" s="33"/>
      <c r="AQB8" s="33"/>
      <c r="AQL8" s="33"/>
      <c r="AQV8" s="33"/>
      <c r="ARF8" s="33"/>
      <c r="ARP8" s="33"/>
      <c r="ARZ8" s="33"/>
      <c r="ASJ8" s="33"/>
      <c r="AST8" s="33"/>
      <c r="ATD8" s="33"/>
      <c r="ATN8" s="33"/>
      <c r="ATX8" s="33"/>
      <c r="AUH8" s="33"/>
      <c r="AUR8" s="33"/>
      <c r="AVB8" s="33"/>
      <c r="AVL8" s="33"/>
      <c r="AVV8" s="33"/>
      <c r="AWF8" s="33"/>
      <c r="AWP8" s="33"/>
      <c r="AWZ8" s="33"/>
      <c r="AXJ8" s="33"/>
      <c r="AXT8" s="33"/>
      <c r="AYD8" s="33"/>
      <c r="AYN8" s="33"/>
      <c r="AYX8" s="33"/>
      <c r="AZH8" s="33"/>
      <c r="AZR8" s="33"/>
      <c r="BAB8" s="33"/>
      <c r="BAL8" s="33"/>
      <c r="BAV8" s="33"/>
      <c r="BBF8" s="33"/>
      <c r="BBP8" s="33"/>
      <c r="BBZ8" s="33"/>
      <c r="BCJ8" s="33"/>
      <c r="BCT8" s="33"/>
      <c r="BDD8" s="33"/>
      <c r="BDN8" s="33"/>
      <c r="BDX8" s="33"/>
      <c r="BEH8" s="33"/>
      <c r="BER8" s="33"/>
      <c r="BFB8" s="33"/>
      <c r="BFL8" s="33"/>
      <c r="BFV8" s="33"/>
      <c r="BGF8" s="33"/>
      <c r="BGP8" s="33"/>
      <c r="BGZ8" s="33"/>
      <c r="BHJ8" s="33"/>
      <c r="BHT8" s="33"/>
      <c r="BID8" s="33"/>
      <c r="BIN8" s="33"/>
      <c r="BIX8" s="33"/>
      <c r="BJH8" s="33"/>
      <c r="BJR8" s="33"/>
      <c r="BKB8" s="33"/>
      <c r="BKL8" s="33"/>
      <c r="BKV8" s="33"/>
      <c r="BLF8" s="33"/>
      <c r="BLP8" s="33"/>
      <c r="BLZ8" s="33"/>
      <c r="BMJ8" s="33"/>
      <c r="BMT8" s="33"/>
      <c r="BND8" s="33"/>
      <c r="BNN8" s="33"/>
      <c r="BNX8" s="33"/>
      <c r="BOH8" s="33"/>
      <c r="BOR8" s="33"/>
      <c r="BPB8" s="33"/>
      <c r="BPL8" s="33"/>
      <c r="BPV8" s="33"/>
      <c r="BQF8" s="33"/>
      <c r="BQP8" s="33"/>
      <c r="BQZ8" s="33"/>
      <c r="BRJ8" s="33"/>
      <c r="BRT8" s="33"/>
      <c r="BSD8" s="33"/>
      <c r="BSN8" s="33"/>
      <c r="BSX8" s="33"/>
      <c r="BTH8" s="33"/>
      <c r="BTR8" s="33"/>
      <c r="BUB8" s="33"/>
      <c r="BUL8" s="33"/>
      <c r="BUV8" s="33"/>
      <c r="BVF8" s="33"/>
      <c r="BVP8" s="33"/>
      <c r="BVZ8" s="33"/>
      <c r="BWJ8" s="33"/>
      <c r="BWT8" s="33"/>
      <c r="BXD8" s="33"/>
      <c r="BXN8" s="33"/>
      <c r="BXX8" s="33"/>
      <c r="BYH8" s="33"/>
      <c r="BYR8" s="33"/>
      <c r="BZB8" s="33"/>
      <c r="BZL8" s="33"/>
      <c r="BZV8" s="33"/>
      <c r="CAF8" s="33"/>
      <c r="CAP8" s="33"/>
      <c r="CAZ8" s="33"/>
      <c r="CBJ8" s="33"/>
      <c r="CBT8" s="33"/>
      <c r="CCD8" s="33"/>
      <c r="CCN8" s="33"/>
      <c r="CCX8" s="33"/>
      <c r="CDH8" s="33"/>
      <c r="CDR8" s="33"/>
      <c r="CEB8" s="33"/>
      <c r="CEL8" s="33"/>
      <c r="CEV8" s="33"/>
      <c r="CFF8" s="33"/>
      <c r="CFP8" s="33"/>
      <c r="CFZ8" s="33"/>
      <c r="CGJ8" s="33"/>
      <c r="CGT8" s="33"/>
      <c r="CHD8" s="33"/>
      <c r="CHN8" s="33"/>
      <c r="CHX8" s="33"/>
      <c r="CIH8" s="33"/>
      <c r="CIR8" s="33"/>
      <c r="CJB8" s="33"/>
      <c r="CJL8" s="33"/>
      <c r="CJV8" s="33"/>
      <c r="CKF8" s="33"/>
      <c r="CKP8" s="33"/>
      <c r="CKZ8" s="33"/>
      <c r="CLJ8" s="33"/>
      <c r="CLT8" s="33"/>
      <c r="CMD8" s="33"/>
      <c r="CMN8" s="33"/>
      <c r="CMX8" s="33"/>
      <c r="CNH8" s="33"/>
      <c r="CNR8" s="33"/>
      <c r="COB8" s="33"/>
      <c r="COL8" s="33"/>
      <c r="COV8" s="33"/>
      <c r="CPF8" s="33"/>
      <c r="CPP8" s="33"/>
      <c r="CPZ8" s="33"/>
      <c r="CQJ8" s="33"/>
      <c r="CQT8" s="33"/>
      <c r="CRD8" s="33"/>
      <c r="CRN8" s="33"/>
      <c r="CRX8" s="33"/>
      <c r="CSH8" s="33"/>
      <c r="CSR8" s="33"/>
      <c r="CTB8" s="33"/>
      <c r="CTL8" s="33"/>
      <c r="CTV8" s="33"/>
    </row>
    <row r="9" s="16" customFormat="1" customHeight="1" spans="1:1020 1030:2040 2050:2570">
      <c r="A9" s="51"/>
      <c r="B9" s="7"/>
      <c r="C9" s="8"/>
      <c r="D9" s="52"/>
      <c r="E9" s="9"/>
      <c r="F9" s="53"/>
      <c r="G9" s="52"/>
      <c r="H9" s="53"/>
      <c r="I9" s="53"/>
      <c r="J9" s="52"/>
      <c r="K9" s="54"/>
      <c r="T9" s="33"/>
      <c r="AD9" s="33"/>
      <c r="AN9" s="33"/>
      <c r="AX9" s="33"/>
      <c r="BH9" s="33"/>
      <c r="BR9" s="33"/>
      <c r="CB9" s="33"/>
      <c r="CL9" s="33"/>
      <c r="CV9" s="33"/>
      <c r="DF9" s="33"/>
      <c r="DP9" s="33"/>
      <c r="DZ9" s="33"/>
      <c r="EJ9" s="33"/>
      <c r="ET9" s="33"/>
      <c r="FD9" s="33"/>
      <c r="FN9" s="33"/>
      <c r="FX9" s="33"/>
      <c r="GH9" s="33"/>
      <c r="GR9" s="33"/>
      <c r="HB9" s="33"/>
      <c r="HL9" s="33"/>
      <c r="HV9" s="33"/>
      <c r="IF9" s="33"/>
      <c r="IP9" s="33"/>
      <c r="IZ9" s="33"/>
      <c r="JJ9" s="33"/>
      <c r="JT9" s="33"/>
      <c r="KD9" s="33"/>
      <c r="KN9" s="33"/>
      <c r="KX9" s="33"/>
      <c r="LH9" s="33"/>
      <c r="LR9" s="33"/>
      <c r="MB9" s="33"/>
      <c r="ML9" s="33"/>
      <c r="MV9" s="33"/>
      <c r="NF9" s="33"/>
      <c r="NP9" s="33"/>
      <c r="NZ9" s="33"/>
      <c r="OJ9" s="33"/>
      <c r="OT9" s="33"/>
      <c r="PD9" s="33"/>
      <c r="PN9" s="33"/>
      <c r="PX9" s="33"/>
      <c r="QH9" s="33"/>
      <c r="QR9" s="33"/>
      <c r="RB9" s="33"/>
      <c r="RL9" s="33"/>
      <c r="RV9" s="33"/>
      <c r="SF9" s="33"/>
      <c r="SP9" s="33"/>
      <c r="SZ9" s="33"/>
      <c r="TJ9" s="33"/>
      <c r="TT9" s="33"/>
      <c r="UD9" s="33"/>
      <c r="UN9" s="33"/>
      <c r="UX9" s="33"/>
      <c r="VH9" s="33"/>
      <c r="VR9" s="33"/>
      <c r="WB9" s="33"/>
      <c r="WL9" s="33"/>
      <c r="WV9" s="33"/>
      <c r="XF9" s="33"/>
      <c r="XP9" s="33"/>
      <c r="XZ9" s="33"/>
      <c r="YJ9" s="33"/>
      <c r="YT9" s="33"/>
      <c r="ZD9" s="33"/>
      <c r="ZN9" s="33"/>
      <c r="ZX9" s="33"/>
      <c r="AAH9" s="33"/>
      <c r="AAR9" s="33"/>
      <c r="ABB9" s="33"/>
      <c r="ABL9" s="33"/>
      <c r="ABV9" s="33"/>
      <c r="ACF9" s="33"/>
      <c r="ACP9" s="33"/>
      <c r="ACZ9" s="33"/>
      <c r="ADJ9" s="33"/>
      <c r="ADT9" s="33"/>
      <c r="AED9" s="33"/>
      <c r="AEN9" s="33"/>
      <c r="AEX9" s="33"/>
      <c r="AFH9" s="33"/>
      <c r="AFR9" s="33"/>
      <c r="AGB9" s="33"/>
      <c r="AGL9" s="33"/>
      <c r="AGV9" s="33"/>
      <c r="AHF9" s="33"/>
      <c r="AHP9" s="33"/>
      <c r="AHZ9" s="33"/>
      <c r="AIJ9" s="33"/>
      <c r="AIT9" s="33"/>
      <c r="AJD9" s="33"/>
      <c r="AJN9" s="33"/>
      <c r="AJX9" s="33"/>
      <c r="AKH9" s="33"/>
      <c r="AKR9" s="33"/>
      <c r="ALB9" s="33"/>
      <c r="ALL9" s="33"/>
      <c r="ALV9" s="33"/>
      <c r="AMF9" s="33"/>
      <c r="AMP9" s="33"/>
      <c r="AMZ9" s="33"/>
      <c r="ANJ9" s="33"/>
      <c r="ANT9" s="33"/>
      <c r="AOD9" s="33"/>
      <c r="AON9" s="33"/>
      <c r="AOX9" s="33"/>
      <c r="APH9" s="33"/>
      <c r="APR9" s="33"/>
      <c r="AQB9" s="33"/>
      <c r="AQL9" s="33"/>
      <c r="AQV9" s="33"/>
      <c r="ARF9" s="33"/>
      <c r="ARP9" s="33"/>
      <c r="ARZ9" s="33"/>
      <c r="ASJ9" s="33"/>
      <c r="AST9" s="33"/>
      <c r="ATD9" s="33"/>
      <c r="ATN9" s="33"/>
      <c r="ATX9" s="33"/>
      <c r="AUH9" s="33"/>
      <c r="AUR9" s="33"/>
      <c r="AVB9" s="33"/>
      <c r="AVL9" s="33"/>
      <c r="AVV9" s="33"/>
      <c r="AWF9" s="33"/>
      <c r="AWP9" s="33"/>
      <c r="AWZ9" s="33"/>
      <c r="AXJ9" s="33"/>
      <c r="AXT9" s="33"/>
      <c r="AYD9" s="33"/>
      <c r="AYN9" s="33"/>
      <c r="AYX9" s="33"/>
      <c r="AZH9" s="33"/>
      <c r="AZR9" s="33"/>
      <c r="BAB9" s="33"/>
      <c r="BAL9" s="33"/>
      <c r="BAV9" s="33"/>
      <c r="BBF9" s="33"/>
      <c r="BBP9" s="33"/>
      <c r="BBZ9" s="33"/>
      <c r="BCJ9" s="33"/>
      <c r="BCT9" s="33"/>
      <c r="BDD9" s="33"/>
      <c r="BDN9" s="33"/>
      <c r="BDX9" s="33"/>
      <c r="BEH9" s="33"/>
      <c r="BER9" s="33"/>
      <c r="BFB9" s="33"/>
      <c r="BFL9" s="33"/>
      <c r="BFV9" s="33"/>
      <c r="BGF9" s="33"/>
      <c r="BGP9" s="33"/>
      <c r="BGZ9" s="33"/>
      <c r="BHJ9" s="33"/>
      <c r="BHT9" s="33"/>
      <c r="BID9" s="33"/>
      <c r="BIN9" s="33"/>
      <c r="BIX9" s="33"/>
      <c r="BJH9" s="33"/>
      <c r="BJR9" s="33"/>
      <c r="BKB9" s="33"/>
      <c r="BKL9" s="33"/>
      <c r="BKV9" s="33"/>
      <c r="BLF9" s="33"/>
      <c r="BLP9" s="33"/>
      <c r="BLZ9" s="33"/>
      <c r="BMJ9" s="33"/>
      <c r="BMT9" s="33"/>
      <c r="BND9" s="33"/>
      <c r="BNN9" s="33"/>
      <c r="BNX9" s="33"/>
      <c r="BOH9" s="33"/>
      <c r="BOR9" s="33"/>
      <c r="BPB9" s="33"/>
      <c r="BPL9" s="33"/>
      <c r="BPV9" s="33"/>
      <c r="BQF9" s="33"/>
      <c r="BQP9" s="33"/>
      <c r="BQZ9" s="33"/>
      <c r="BRJ9" s="33"/>
      <c r="BRT9" s="33"/>
      <c r="BSD9" s="33"/>
      <c r="BSN9" s="33"/>
      <c r="BSX9" s="33"/>
      <c r="BTH9" s="33"/>
      <c r="BTR9" s="33"/>
      <c r="BUB9" s="33"/>
      <c r="BUL9" s="33"/>
      <c r="BUV9" s="33"/>
      <c r="BVF9" s="33"/>
      <c r="BVP9" s="33"/>
      <c r="BVZ9" s="33"/>
      <c r="BWJ9" s="33"/>
      <c r="BWT9" s="33"/>
      <c r="BXD9" s="33"/>
      <c r="BXN9" s="33"/>
      <c r="BXX9" s="33"/>
      <c r="BYH9" s="33"/>
      <c r="BYR9" s="33"/>
      <c r="BZB9" s="33"/>
      <c r="BZL9" s="33"/>
      <c r="BZV9" s="33"/>
      <c r="CAF9" s="33"/>
      <c r="CAP9" s="33"/>
      <c r="CAZ9" s="33"/>
      <c r="CBJ9" s="33"/>
      <c r="CBT9" s="33"/>
      <c r="CCD9" s="33"/>
      <c r="CCN9" s="33"/>
      <c r="CCX9" s="33"/>
      <c r="CDH9" s="33"/>
      <c r="CDR9" s="33"/>
      <c r="CEB9" s="33"/>
      <c r="CEL9" s="33"/>
      <c r="CEV9" s="33"/>
      <c r="CFF9" s="33"/>
      <c r="CFP9" s="33"/>
      <c r="CFZ9" s="33"/>
      <c r="CGJ9" s="33"/>
      <c r="CGT9" s="33"/>
      <c r="CHD9" s="33"/>
      <c r="CHN9" s="33"/>
      <c r="CHX9" s="33"/>
      <c r="CIH9" s="33"/>
      <c r="CIR9" s="33"/>
      <c r="CJB9" s="33"/>
      <c r="CJL9" s="33"/>
      <c r="CJV9" s="33"/>
      <c r="CKF9" s="33"/>
      <c r="CKP9" s="33"/>
      <c r="CKZ9" s="33"/>
      <c r="CLJ9" s="33"/>
      <c r="CLT9" s="33"/>
      <c r="CMD9" s="33"/>
      <c r="CMN9" s="33"/>
      <c r="CMX9" s="33"/>
      <c r="CNH9" s="33"/>
      <c r="CNR9" s="33"/>
      <c r="COB9" s="33"/>
      <c r="COL9" s="33"/>
      <c r="COV9" s="33"/>
      <c r="CPF9" s="33"/>
      <c r="CPP9" s="33"/>
      <c r="CPZ9" s="33"/>
      <c r="CQJ9" s="33"/>
      <c r="CQT9" s="33"/>
      <c r="CRD9" s="33"/>
      <c r="CRN9" s="33"/>
      <c r="CRX9" s="33"/>
      <c r="CSH9" s="33"/>
      <c r="CSR9" s="33"/>
      <c r="CTB9" s="33"/>
      <c r="CTL9" s="33"/>
      <c r="CTV9" s="33"/>
    </row>
    <row r="10" s="16" customFormat="1" customHeight="1" spans="1:1020 1030:2040 2050:2570">
      <c r="A10" s="51"/>
      <c r="B10" s="7"/>
      <c r="C10" s="8"/>
      <c r="D10" s="52"/>
      <c r="E10" s="9"/>
      <c r="F10" s="53"/>
      <c r="G10" s="52"/>
      <c r="H10" s="53"/>
      <c r="I10" s="53"/>
      <c r="J10" s="52"/>
      <c r="K10" s="54"/>
      <c r="T10" s="33"/>
      <c r="AD10" s="33"/>
      <c r="AN10" s="33"/>
      <c r="AX10" s="33"/>
      <c r="BH10" s="33"/>
      <c r="BR10" s="33"/>
      <c r="CB10" s="33"/>
      <c r="CL10" s="33"/>
      <c r="CV10" s="33"/>
      <c r="DF10" s="33"/>
      <c r="DP10" s="33"/>
      <c r="DZ10" s="33"/>
      <c r="EJ10" s="33"/>
      <c r="ET10" s="33"/>
      <c r="FD10" s="33"/>
      <c r="FN10" s="33"/>
      <c r="FX10" s="33"/>
      <c r="GH10" s="33"/>
      <c r="GR10" s="33"/>
      <c r="HB10" s="33"/>
      <c r="HL10" s="33"/>
      <c r="HV10" s="33"/>
      <c r="IF10" s="33"/>
      <c r="IP10" s="33"/>
      <c r="IZ10" s="33"/>
      <c r="JJ10" s="33"/>
      <c r="JT10" s="33"/>
      <c r="KD10" s="33"/>
      <c r="KN10" s="33"/>
      <c r="KX10" s="33"/>
      <c r="LH10" s="33"/>
      <c r="LR10" s="33"/>
      <c r="MB10" s="33"/>
      <c r="ML10" s="33"/>
      <c r="MV10" s="33"/>
      <c r="NF10" s="33"/>
      <c r="NP10" s="33"/>
      <c r="NZ10" s="33"/>
      <c r="OJ10" s="33"/>
      <c r="OT10" s="33"/>
      <c r="PD10" s="33"/>
      <c r="PN10" s="33"/>
      <c r="PX10" s="33"/>
      <c r="QH10" s="33"/>
      <c r="QR10" s="33"/>
      <c r="RB10" s="33"/>
      <c r="RL10" s="33"/>
      <c r="RV10" s="33"/>
      <c r="SF10" s="33"/>
      <c r="SP10" s="33"/>
      <c r="SZ10" s="33"/>
      <c r="TJ10" s="33"/>
      <c r="TT10" s="33"/>
      <c r="UD10" s="33"/>
      <c r="UN10" s="33"/>
      <c r="UX10" s="33"/>
      <c r="VH10" s="33"/>
      <c r="VR10" s="33"/>
      <c r="WB10" s="33"/>
      <c r="WL10" s="33"/>
      <c r="WV10" s="33"/>
      <c r="XF10" s="33"/>
      <c r="XP10" s="33"/>
      <c r="XZ10" s="33"/>
      <c r="YJ10" s="33"/>
      <c r="YT10" s="33"/>
      <c r="ZD10" s="33"/>
      <c r="ZN10" s="33"/>
      <c r="ZX10" s="33"/>
      <c r="AAH10" s="33"/>
      <c r="AAR10" s="33"/>
      <c r="ABB10" s="33"/>
      <c r="ABL10" s="33"/>
      <c r="ABV10" s="33"/>
      <c r="ACF10" s="33"/>
      <c r="ACP10" s="33"/>
      <c r="ACZ10" s="33"/>
      <c r="ADJ10" s="33"/>
      <c r="ADT10" s="33"/>
      <c r="AED10" s="33"/>
      <c r="AEN10" s="33"/>
      <c r="AEX10" s="33"/>
      <c r="AFH10" s="33"/>
      <c r="AFR10" s="33"/>
      <c r="AGB10" s="33"/>
      <c r="AGL10" s="33"/>
      <c r="AGV10" s="33"/>
      <c r="AHF10" s="33"/>
      <c r="AHP10" s="33"/>
      <c r="AHZ10" s="33"/>
      <c r="AIJ10" s="33"/>
      <c r="AIT10" s="33"/>
      <c r="AJD10" s="33"/>
      <c r="AJN10" s="33"/>
      <c r="AJX10" s="33"/>
      <c r="AKH10" s="33"/>
      <c r="AKR10" s="33"/>
      <c r="ALB10" s="33"/>
      <c r="ALL10" s="33"/>
      <c r="ALV10" s="33"/>
      <c r="AMF10" s="33"/>
      <c r="AMP10" s="33"/>
      <c r="AMZ10" s="33"/>
      <c r="ANJ10" s="33"/>
      <c r="ANT10" s="33"/>
      <c r="AOD10" s="33"/>
      <c r="AON10" s="33"/>
      <c r="AOX10" s="33"/>
      <c r="APH10" s="33"/>
      <c r="APR10" s="33"/>
      <c r="AQB10" s="33"/>
      <c r="AQL10" s="33"/>
      <c r="AQV10" s="33"/>
      <c r="ARF10" s="33"/>
      <c r="ARP10" s="33"/>
      <c r="ARZ10" s="33"/>
      <c r="ASJ10" s="33"/>
      <c r="AST10" s="33"/>
      <c r="ATD10" s="33"/>
      <c r="ATN10" s="33"/>
      <c r="ATX10" s="33"/>
      <c r="AUH10" s="33"/>
      <c r="AUR10" s="33"/>
      <c r="AVB10" s="33"/>
      <c r="AVL10" s="33"/>
      <c r="AVV10" s="33"/>
      <c r="AWF10" s="33"/>
      <c r="AWP10" s="33"/>
      <c r="AWZ10" s="33"/>
      <c r="AXJ10" s="33"/>
      <c r="AXT10" s="33"/>
      <c r="AYD10" s="33"/>
      <c r="AYN10" s="33"/>
      <c r="AYX10" s="33"/>
      <c r="AZH10" s="33"/>
      <c r="AZR10" s="33"/>
      <c r="BAB10" s="33"/>
      <c r="BAL10" s="33"/>
      <c r="BAV10" s="33"/>
      <c r="BBF10" s="33"/>
      <c r="BBP10" s="33"/>
      <c r="BBZ10" s="33"/>
      <c r="BCJ10" s="33"/>
      <c r="BCT10" s="33"/>
      <c r="BDD10" s="33"/>
      <c r="BDN10" s="33"/>
      <c r="BDX10" s="33"/>
      <c r="BEH10" s="33"/>
      <c r="BER10" s="33"/>
      <c r="BFB10" s="33"/>
      <c r="BFL10" s="33"/>
      <c r="BFV10" s="33"/>
      <c r="BGF10" s="33"/>
      <c r="BGP10" s="33"/>
      <c r="BGZ10" s="33"/>
      <c r="BHJ10" s="33"/>
      <c r="BHT10" s="33"/>
      <c r="BID10" s="33"/>
      <c r="BIN10" s="33"/>
      <c r="BIX10" s="33"/>
      <c r="BJH10" s="33"/>
      <c r="BJR10" s="33"/>
      <c r="BKB10" s="33"/>
      <c r="BKL10" s="33"/>
      <c r="BKV10" s="33"/>
      <c r="BLF10" s="33"/>
      <c r="BLP10" s="33"/>
      <c r="BLZ10" s="33"/>
      <c r="BMJ10" s="33"/>
      <c r="BMT10" s="33"/>
      <c r="BND10" s="33"/>
      <c r="BNN10" s="33"/>
      <c r="BNX10" s="33"/>
      <c r="BOH10" s="33"/>
      <c r="BOR10" s="33"/>
      <c r="BPB10" s="33"/>
      <c r="BPL10" s="33"/>
      <c r="BPV10" s="33"/>
      <c r="BQF10" s="33"/>
      <c r="BQP10" s="33"/>
      <c r="BQZ10" s="33"/>
      <c r="BRJ10" s="33"/>
      <c r="BRT10" s="33"/>
      <c r="BSD10" s="33"/>
      <c r="BSN10" s="33"/>
      <c r="BSX10" s="33"/>
      <c r="BTH10" s="33"/>
      <c r="BTR10" s="33"/>
      <c r="BUB10" s="33"/>
      <c r="BUL10" s="33"/>
      <c r="BUV10" s="33"/>
      <c r="BVF10" s="33"/>
      <c r="BVP10" s="33"/>
      <c r="BVZ10" s="33"/>
      <c r="BWJ10" s="33"/>
      <c r="BWT10" s="33"/>
      <c r="BXD10" s="33"/>
      <c r="BXN10" s="33"/>
      <c r="BXX10" s="33"/>
      <c r="BYH10" s="33"/>
      <c r="BYR10" s="33"/>
      <c r="BZB10" s="33"/>
      <c r="BZL10" s="33"/>
      <c r="BZV10" s="33"/>
      <c r="CAF10" s="33"/>
      <c r="CAP10" s="33"/>
      <c r="CAZ10" s="33"/>
      <c r="CBJ10" s="33"/>
      <c r="CBT10" s="33"/>
      <c r="CCD10" s="33"/>
      <c r="CCN10" s="33"/>
      <c r="CCX10" s="33"/>
      <c r="CDH10" s="33"/>
      <c r="CDR10" s="33"/>
      <c r="CEB10" s="33"/>
      <c r="CEL10" s="33"/>
      <c r="CEV10" s="33"/>
      <c r="CFF10" s="33"/>
      <c r="CFP10" s="33"/>
      <c r="CFZ10" s="33"/>
      <c r="CGJ10" s="33"/>
      <c r="CGT10" s="33"/>
      <c r="CHD10" s="33"/>
      <c r="CHN10" s="33"/>
      <c r="CHX10" s="33"/>
      <c r="CIH10" s="33"/>
      <c r="CIR10" s="33"/>
      <c r="CJB10" s="33"/>
      <c r="CJL10" s="33"/>
      <c r="CJV10" s="33"/>
      <c r="CKF10" s="33"/>
      <c r="CKP10" s="33"/>
      <c r="CKZ10" s="33"/>
      <c r="CLJ10" s="33"/>
      <c r="CLT10" s="33"/>
      <c r="CMD10" s="33"/>
      <c r="CMN10" s="33"/>
      <c r="CMX10" s="33"/>
      <c r="CNH10" s="33"/>
      <c r="CNR10" s="33"/>
      <c r="COB10" s="33"/>
      <c r="COL10" s="33"/>
      <c r="COV10" s="33"/>
      <c r="CPF10" s="33"/>
      <c r="CPP10" s="33"/>
      <c r="CPZ10" s="33"/>
      <c r="CQJ10" s="33"/>
      <c r="CQT10" s="33"/>
      <c r="CRD10" s="33"/>
      <c r="CRN10" s="33"/>
      <c r="CRX10" s="33"/>
      <c r="CSH10" s="33"/>
      <c r="CSR10" s="33"/>
      <c r="CTB10" s="33"/>
      <c r="CTL10" s="33"/>
      <c r="CTV10" s="33"/>
    </row>
    <row r="11" s="16" customFormat="1" customHeight="1" spans="1:1020 1030:2040 2050:2570">
      <c r="A11" s="51"/>
      <c r="B11" s="7"/>
      <c r="C11" s="8"/>
      <c r="D11" s="52"/>
      <c r="E11" s="9"/>
      <c r="F11" s="53"/>
      <c r="G11" s="52"/>
      <c r="H11" s="53"/>
      <c r="I11" s="53"/>
      <c r="J11" s="52"/>
      <c r="K11" s="54"/>
      <c r="T11" s="33"/>
      <c r="AD11" s="33"/>
      <c r="AN11" s="33"/>
      <c r="AX11" s="33"/>
      <c r="BH11" s="33"/>
      <c r="BR11" s="33"/>
      <c r="CB11" s="33"/>
      <c r="CL11" s="33"/>
      <c r="CV11" s="33"/>
      <c r="DF11" s="33"/>
      <c r="DP11" s="33"/>
      <c r="DZ11" s="33"/>
      <c r="EJ11" s="33"/>
      <c r="ET11" s="33"/>
      <c r="FD11" s="33"/>
      <c r="FN11" s="33"/>
      <c r="FX11" s="33"/>
      <c r="GH11" s="33"/>
      <c r="GR11" s="33"/>
      <c r="HB11" s="33"/>
      <c r="HL11" s="33"/>
      <c r="HV11" s="33"/>
      <c r="IF11" s="33"/>
      <c r="IP11" s="33"/>
      <c r="IZ11" s="33"/>
      <c r="JJ11" s="33"/>
      <c r="JT11" s="33"/>
      <c r="KD11" s="33"/>
      <c r="KN11" s="33"/>
      <c r="KX11" s="33"/>
      <c r="LH11" s="33"/>
      <c r="LR11" s="33"/>
      <c r="MB11" s="33"/>
      <c r="ML11" s="33"/>
      <c r="MV11" s="33"/>
      <c r="NF11" s="33"/>
      <c r="NP11" s="33"/>
      <c r="NZ11" s="33"/>
      <c r="OJ11" s="33"/>
      <c r="OT11" s="33"/>
      <c r="PD11" s="33"/>
      <c r="PN11" s="33"/>
      <c r="PX11" s="33"/>
      <c r="QH11" s="33"/>
      <c r="QR11" s="33"/>
      <c r="RB11" s="33"/>
      <c r="RL11" s="33"/>
      <c r="RV11" s="33"/>
      <c r="SF11" s="33"/>
      <c r="SP11" s="33"/>
      <c r="SZ11" s="33"/>
      <c r="TJ11" s="33"/>
      <c r="TT11" s="33"/>
      <c r="UD11" s="33"/>
      <c r="UN11" s="33"/>
      <c r="UX11" s="33"/>
      <c r="VH11" s="33"/>
      <c r="VR11" s="33"/>
      <c r="WB11" s="33"/>
      <c r="WL11" s="33"/>
      <c r="WV11" s="33"/>
      <c r="XF11" s="33"/>
      <c r="XP11" s="33"/>
      <c r="XZ11" s="33"/>
      <c r="YJ11" s="33"/>
      <c r="YT11" s="33"/>
      <c r="ZD11" s="33"/>
      <c r="ZN11" s="33"/>
      <c r="ZX11" s="33"/>
      <c r="AAH11" s="33"/>
      <c r="AAR11" s="33"/>
      <c r="ABB11" s="33"/>
      <c r="ABL11" s="33"/>
      <c r="ABV11" s="33"/>
      <c r="ACF11" s="33"/>
      <c r="ACP11" s="33"/>
      <c r="ACZ11" s="33"/>
      <c r="ADJ11" s="33"/>
      <c r="ADT11" s="33"/>
      <c r="AED11" s="33"/>
      <c r="AEN11" s="33"/>
      <c r="AEX11" s="33"/>
      <c r="AFH11" s="33"/>
      <c r="AFR11" s="33"/>
      <c r="AGB11" s="33"/>
      <c r="AGL11" s="33"/>
      <c r="AGV11" s="33"/>
      <c r="AHF11" s="33"/>
      <c r="AHP11" s="33"/>
      <c r="AHZ11" s="33"/>
      <c r="AIJ11" s="33"/>
      <c r="AIT11" s="33"/>
      <c r="AJD11" s="33"/>
      <c r="AJN11" s="33"/>
      <c r="AJX11" s="33"/>
      <c r="AKH11" s="33"/>
      <c r="AKR11" s="33"/>
      <c r="ALB11" s="33"/>
      <c r="ALL11" s="33"/>
      <c r="ALV11" s="33"/>
      <c r="AMF11" s="33"/>
      <c r="AMP11" s="33"/>
      <c r="AMZ11" s="33"/>
      <c r="ANJ11" s="33"/>
      <c r="ANT11" s="33"/>
      <c r="AOD11" s="33"/>
      <c r="AON11" s="33"/>
      <c r="AOX11" s="33"/>
      <c r="APH11" s="33"/>
      <c r="APR11" s="33"/>
      <c r="AQB11" s="33"/>
      <c r="AQL11" s="33"/>
      <c r="AQV11" s="33"/>
      <c r="ARF11" s="33"/>
      <c r="ARP11" s="33"/>
      <c r="ARZ11" s="33"/>
      <c r="ASJ11" s="33"/>
      <c r="AST11" s="33"/>
      <c r="ATD11" s="33"/>
      <c r="ATN11" s="33"/>
      <c r="ATX11" s="33"/>
      <c r="AUH11" s="33"/>
      <c r="AUR11" s="33"/>
      <c r="AVB11" s="33"/>
      <c r="AVL11" s="33"/>
      <c r="AVV11" s="33"/>
      <c r="AWF11" s="33"/>
      <c r="AWP11" s="33"/>
      <c r="AWZ11" s="33"/>
      <c r="AXJ11" s="33"/>
      <c r="AXT11" s="33"/>
      <c r="AYD11" s="33"/>
      <c r="AYN11" s="33"/>
      <c r="AYX11" s="33"/>
      <c r="AZH11" s="33"/>
      <c r="AZR11" s="33"/>
      <c r="BAB11" s="33"/>
      <c r="BAL11" s="33"/>
      <c r="BAV11" s="33"/>
      <c r="BBF11" s="33"/>
      <c r="BBP11" s="33"/>
      <c r="BBZ11" s="33"/>
      <c r="BCJ11" s="33"/>
      <c r="BCT11" s="33"/>
      <c r="BDD11" s="33"/>
      <c r="BDN11" s="33"/>
      <c r="BDX11" s="33"/>
      <c r="BEH11" s="33"/>
      <c r="BER11" s="33"/>
      <c r="BFB11" s="33"/>
      <c r="BFL11" s="33"/>
      <c r="BFV11" s="33"/>
      <c r="BGF11" s="33"/>
      <c r="BGP11" s="33"/>
      <c r="BGZ11" s="33"/>
      <c r="BHJ11" s="33"/>
      <c r="BHT11" s="33"/>
      <c r="BID11" s="33"/>
      <c r="BIN11" s="33"/>
      <c r="BIX11" s="33"/>
      <c r="BJH11" s="33"/>
      <c r="BJR11" s="33"/>
      <c r="BKB11" s="33"/>
      <c r="BKL11" s="33"/>
      <c r="BKV11" s="33"/>
      <c r="BLF11" s="33"/>
      <c r="BLP11" s="33"/>
      <c r="BLZ11" s="33"/>
      <c r="BMJ11" s="33"/>
      <c r="BMT11" s="33"/>
      <c r="BND11" s="33"/>
      <c r="BNN11" s="33"/>
      <c r="BNX11" s="33"/>
      <c r="BOH11" s="33"/>
      <c r="BOR11" s="33"/>
      <c r="BPB11" s="33"/>
      <c r="BPL11" s="33"/>
      <c r="BPV11" s="33"/>
      <c r="BQF11" s="33"/>
      <c r="BQP11" s="33"/>
      <c r="BQZ11" s="33"/>
      <c r="BRJ11" s="33"/>
      <c r="BRT11" s="33"/>
      <c r="BSD11" s="33"/>
      <c r="BSN11" s="33"/>
      <c r="BSX11" s="33"/>
      <c r="BTH11" s="33"/>
      <c r="BTR11" s="33"/>
      <c r="BUB11" s="33"/>
      <c r="BUL11" s="33"/>
      <c r="BUV11" s="33"/>
      <c r="BVF11" s="33"/>
      <c r="BVP11" s="33"/>
      <c r="BVZ11" s="33"/>
      <c r="BWJ11" s="33"/>
      <c r="BWT11" s="33"/>
      <c r="BXD11" s="33"/>
      <c r="BXN11" s="33"/>
      <c r="BXX11" s="33"/>
      <c r="BYH11" s="33"/>
      <c r="BYR11" s="33"/>
      <c r="BZB11" s="33"/>
      <c r="BZL11" s="33"/>
      <c r="BZV11" s="33"/>
      <c r="CAF11" s="33"/>
      <c r="CAP11" s="33"/>
      <c r="CAZ11" s="33"/>
      <c r="CBJ11" s="33"/>
      <c r="CBT11" s="33"/>
      <c r="CCD11" s="33"/>
      <c r="CCN11" s="33"/>
      <c r="CCX11" s="33"/>
      <c r="CDH11" s="33"/>
      <c r="CDR11" s="33"/>
      <c r="CEB11" s="33"/>
      <c r="CEL11" s="33"/>
      <c r="CEV11" s="33"/>
      <c r="CFF11" s="33"/>
      <c r="CFP11" s="33"/>
      <c r="CFZ11" s="33"/>
      <c r="CGJ11" s="33"/>
      <c r="CGT11" s="33"/>
      <c r="CHD11" s="33"/>
      <c r="CHN11" s="33"/>
      <c r="CHX11" s="33"/>
      <c r="CIH11" s="33"/>
      <c r="CIR11" s="33"/>
      <c r="CJB11" s="33"/>
      <c r="CJL11" s="33"/>
      <c r="CJV11" s="33"/>
      <c r="CKF11" s="33"/>
      <c r="CKP11" s="33"/>
      <c r="CKZ11" s="33"/>
      <c r="CLJ11" s="33"/>
      <c r="CLT11" s="33"/>
      <c r="CMD11" s="33"/>
      <c r="CMN11" s="33"/>
      <c r="CMX11" s="33"/>
      <c r="CNH11" s="33"/>
      <c r="CNR11" s="33"/>
      <c r="COB11" s="33"/>
      <c r="COL11" s="33"/>
      <c r="COV11" s="33"/>
      <c r="CPF11" s="33"/>
      <c r="CPP11" s="33"/>
      <c r="CPZ11" s="33"/>
      <c r="CQJ11" s="33"/>
      <c r="CQT11" s="33"/>
      <c r="CRD11" s="33"/>
      <c r="CRN11" s="33"/>
      <c r="CRX11" s="33"/>
      <c r="CSH11" s="33"/>
      <c r="CSR11" s="33"/>
      <c r="CTB11" s="33"/>
      <c r="CTL11" s="33"/>
      <c r="CTV11" s="33"/>
    </row>
    <row r="12" s="16" customFormat="1" customHeight="1" spans="1:1020 1030:2040 2050:2570">
      <c r="A12" s="51"/>
      <c r="B12" s="7"/>
      <c r="C12" s="8"/>
      <c r="D12" s="52"/>
      <c r="E12" s="9"/>
      <c r="F12" s="53"/>
      <c r="G12" s="52"/>
      <c r="H12" s="53"/>
      <c r="I12" s="53"/>
      <c r="J12" s="52"/>
      <c r="K12" s="54"/>
      <c r="T12" s="33"/>
      <c r="AD12" s="33"/>
      <c r="AN12" s="33"/>
      <c r="AX12" s="33"/>
      <c r="BH12" s="33"/>
      <c r="BR12" s="33"/>
      <c r="CB12" s="33"/>
      <c r="CL12" s="33"/>
      <c r="CV12" s="33"/>
      <c r="DF12" s="33"/>
      <c r="DP12" s="33"/>
      <c r="DZ12" s="33"/>
      <c r="EJ12" s="33"/>
      <c r="ET12" s="33"/>
      <c r="FD12" s="33"/>
      <c r="FN12" s="33"/>
      <c r="FX12" s="33"/>
      <c r="GH12" s="33"/>
      <c r="GR12" s="33"/>
      <c r="HB12" s="33"/>
      <c r="HL12" s="33"/>
      <c r="HV12" s="33"/>
      <c r="IF12" s="33"/>
      <c r="IP12" s="33"/>
      <c r="IZ12" s="33"/>
      <c r="JJ12" s="33"/>
      <c r="JT12" s="33"/>
      <c r="KD12" s="33"/>
      <c r="KN12" s="33"/>
      <c r="KX12" s="33"/>
      <c r="LH12" s="33"/>
      <c r="LR12" s="33"/>
      <c r="MB12" s="33"/>
      <c r="ML12" s="33"/>
      <c r="MV12" s="33"/>
      <c r="NF12" s="33"/>
      <c r="NP12" s="33"/>
      <c r="NZ12" s="33"/>
      <c r="OJ12" s="33"/>
      <c r="OT12" s="33"/>
      <c r="PD12" s="33"/>
      <c r="PN12" s="33"/>
      <c r="PX12" s="33"/>
      <c r="QH12" s="33"/>
      <c r="QR12" s="33"/>
      <c r="RB12" s="33"/>
      <c r="RL12" s="33"/>
      <c r="RV12" s="33"/>
      <c r="SF12" s="33"/>
      <c r="SP12" s="33"/>
      <c r="SZ12" s="33"/>
      <c r="TJ12" s="33"/>
      <c r="TT12" s="33"/>
      <c r="UD12" s="33"/>
      <c r="UN12" s="33"/>
      <c r="UX12" s="33"/>
      <c r="VH12" s="33"/>
      <c r="VR12" s="33"/>
      <c r="WB12" s="33"/>
      <c r="WL12" s="33"/>
      <c r="WV12" s="33"/>
      <c r="XF12" s="33"/>
      <c r="XP12" s="33"/>
      <c r="XZ12" s="33"/>
      <c r="YJ12" s="33"/>
      <c r="YT12" s="33"/>
      <c r="ZD12" s="33"/>
      <c r="ZN12" s="33"/>
      <c r="ZX12" s="33"/>
      <c r="AAH12" s="33"/>
      <c r="AAR12" s="33"/>
      <c r="ABB12" s="33"/>
      <c r="ABL12" s="33"/>
      <c r="ABV12" s="33"/>
      <c r="ACF12" s="33"/>
      <c r="ACP12" s="33"/>
      <c r="ACZ12" s="33"/>
      <c r="ADJ12" s="33"/>
      <c r="ADT12" s="33"/>
      <c r="AED12" s="33"/>
      <c r="AEN12" s="33"/>
      <c r="AEX12" s="33"/>
      <c r="AFH12" s="33"/>
      <c r="AFR12" s="33"/>
      <c r="AGB12" s="33"/>
      <c r="AGL12" s="33"/>
      <c r="AGV12" s="33"/>
      <c r="AHF12" s="33"/>
      <c r="AHP12" s="33"/>
      <c r="AHZ12" s="33"/>
      <c r="AIJ12" s="33"/>
      <c r="AIT12" s="33"/>
      <c r="AJD12" s="33"/>
      <c r="AJN12" s="33"/>
      <c r="AJX12" s="33"/>
      <c r="AKH12" s="33"/>
      <c r="AKR12" s="33"/>
      <c r="ALB12" s="33"/>
      <c r="ALL12" s="33"/>
      <c r="ALV12" s="33"/>
      <c r="AMF12" s="33"/>
      <c r="AMP12" s="33"/>
      <c r="AMZ12" s="33"/>
      <c r="ANJ12" s="33"/>
      <c r="ANT12" s="33"/>
      <c r="AOD12" s="33"/>
      <c r="AON12" s="33"/>
      <c r="AOX12" s="33"/>
      <c r="APH12" s="33"/>
      <c r="APR12" s="33"/>
      <c r="AQB12" s="33"/>
      <c r="AQL12" s="33"/>
      <c r="AQV12" s="33"/>
      <c r="ARF12" s="33"/>
      <c r="ARP12" s="33"/>
      <c r="ARZ12" s="33"/>
      <c r="ASJ12" s="33"/>
      <c r="AST12" s="33"/>
      <c r="ATD12" s="33"/>
      <c r="ATN12" s="33"/>
      <c r="ATX12" s="33"/>
      <c r="AUH12" s="33"/>
      <c r="AUR12" s="33"/>
      <c r="AVB12" s="33"/>
      <c r="AVL12" s="33"/>
      <c r="AVV12" s="33"/>
      <c r="AWF12" s="33"/>
      <c r="AWP12" s="33"/>
      <c r="AWZ12" s="33"/>
      <c r="AXJ12" s="33"/>
      <c r="AXT12" s="33"/>
      <c r="AYD12" s="33"/>
      <c r="AYN12" s="33"/>
      <c r="AYX12" s="33"/>
      <c r="AZH12" s="33"/>
      <c r="AZR12" s="33"/>
      <c r="BAB12" s="33"/>
      <c r="BAL12" s="33"/>
      <c r="BAV12" s="33"/>
      <c r="BBF12" s="33"/>
      <c r="BBP12" s="33"/>
      <c r="BBZ12" s="33"/>
      <c r="BCJ12" s="33"/>
      <c r="BCT12" s="33"/>
      <c r="BDD12" s="33"/>
      <c r="BDN12" s="33"/>
      <c r="BDX12" s="33"/>
      <c r="BEH12" s="33"/>
      <c r="BER12" s="33"/>
      <c r="BFB12" s="33"/>
      <c r="BFL12" s="33"/>
      <c r="BFV12" s="33"/>
      <c r="BGF12" s="33"/>
      <c r="BGP12" s="33"/>
      <c r="BGZ12" s="33"/>
      <c r="BHJ12" s="33"/>
      <c r="BHT12" s="33"/>
      <c r="BID12" s="33"/>
      <c r="BIN12" s="33"/>
      <c r="BIX12" s="33"/>
      <c r="BJH12" s="33"/>
      <c r="BJR12" s="33"/>
      <c r="BKB12" s="33"/>
      <c r="BKL12" s="33"/>
      <c r="BKV12" s="33"/>
      <c r="BLF12" s="33"/>
      <c r="BLP12" s="33"/>
      <c r="BLZ12" s="33"/>
      <c r="BMJ12" s="33"/>
      <c r="BMT12" s="33"/>
      <c r="BND12" s="33"/>
      <c r="BNN12" s="33"/>
      <c r="BNX12" s="33"/>
      <c r="BOH12" s="33"/>
      <c r="BOR12" s="33"/>
      <c r="BPB12" s="33"/>
      <c r="BPL12" s="33"/>
      <c r="BPV12" s="33"/>
      <c r="BQF12" s="33"/>
      <c r="BQP12" s="33"/>
      <c r="BQZ12" s="33"/>
      <c r="BRJ12" s="33"/>
      <c r="BRT12" s="33"/>
      <c r="BSD12" s="33"/>
      <c r="BSN12" s="33"/>
      <c r="BSX12" s="33"/>
      <c r="BTH12" s="33"/>
      <c r="BTR12" s="33"/>
      <c r="BUB12" s="33"/>
      <c r="BUL12" s="33"/>
      <c r="BUV12" s="33"/>
      <c r="BVF12" s="33"/>
      <c r="BVP12" s="33"/>
      <c r="BVZ12" s="33"/>
      <c r="BWJ12" s="33"/>
      <c r="BWT12" s="33"/>
      <c r="BXD12" s="33"/>
      <c r="BXN12" s="33"/>
      <c r="BXX12" s="33"/>
      <c r="BYH12" s="33"/>
      <c r="BYR12" s="33"/>
      <c r="BZB12" s="33"/>
      <c r="BZL12" s="33"/>
      <c r="BZV12" s="33"/>
      <c r="CAF12" s="33"/>
      <c r="CAP12" s="33"/>
      <c r="CAZ12" s="33"/>
      <c r="CBJ12" s="33"/>
      <c r="CBT12" s="33"/>
      <c r="CCD12" s="33"/>
      <c r="CCN12" s="33"/>
      <c r="CCX12" s="33"/>
      <c r="CDH12" s="33"/>
      <c r="CDR12" s="33"/>
      <c r="CEB12" s="33"/>
      <c r="CEL12" s="33"/>
      <c r="CEV12" s="33"/>
      <c r="CFF12" s="33"/>
      <c r="CFP12" s="33"/>
      <c r="CFZ12" s="33"/>
      <c r="CGJ12" s="33"/>
      <c r="CGT12" s="33"/>
      <c r="CHD12" s="33"/>
      <c r="CHN12" s="33"/>
      <c r="CHX12" s="33"/>
      <c r="CIH12" s="33"/>
      <c r="CIR12" s="33"/>
      <c r="CJB12" s="33"/>
      <c r="CJL12" s="33"/>
      <c r="CJV12" s="33"/>
      <c r="CKF12" s="33"/>
      <c r="CKP12" s="33"/>
      <c r="CKZ12" s="33"/>
      <c r="CLJ12" s="33"/>
      <c r="CLT12" s="33"/>
      <c r="CMD12" s="33"/>
      <c r="CMN12" s="33"/>
      <c r="CMX12" s="33"/>
      <c r="CNH12" s="33"/>
      <c r="CNR12" s="33"/>
      <c r="COB12" s="33"/>
      <c r="COL12" s="33"/>
      <c r="COV12" s="33"/>
      <c r="CPF12" s="33"/>
      <c r="CPP12" s="33"/>
      <c r="CPZ12" s="33"/>
      <c r="CQJ12" s="33"/>
      <c r="CQT12" s="33"/>
      <c r="CRD12" s="33"/>
      <c r="CRN12" s="33"/>
      <c r="CRX12" s="33"/>
      <c r="CSH12" s="33"/>
      <c r="CSR12" s="33"/>
      <c r="CTB12" s="33"/>
      <c r="CTL12" s="33"/>
      <c r="CTV12" s="33"/>
    </row>
    <row r="13" s="16" customFormat="1" customHeight="1" spans="1:1020 1030:2040 2050:2570">
      <c r="A13" s="51"/>
      <c r="B13" s="7"/>
      <c r="C13" s="8"/>
      <c r="D13" s="52"/>
      <c r="E13" s="9"/>
      <c r="F13" s="53"/>
      <c r="G13" s="52"/>
      <c r="H13" s="53"/>
      <c r="I13" s="53"/>
      <c r="J13" s="52"/>
      <c r="K13" s="54"/>
      <c r="T13" s="33"/>
      <c r="AD13" s="33"/>
      <c r="AN13" s="33"/>
      <c r="AX13" s="33"/>
      <c r="BH13" s="33"/>
      <c r="BR13" s="33"/>
      <c r="CB13" s="33"/>
      <c r="CL13" s="33"/>
      <c r="CV13" s="33"/>
      <c r="DF13" s="33"/>
      <c r="DP13" s="33"/>
      <c r="DZ13" s="33"/>
      <c r="EJ13" s="33"/>
      <c r="ET13" s="33"/>
      <c r="FD13" s="33"/>
      <c r="FN13" s="33"/>
      <c r="FX13" s="33"/>
      <c r="GH13" s="33"/>
      <c r="GR13" s="33"/>
      <c r="HB13" s="33"/>
      <c r="HL13" s="33"/>
      <c r="HV13" s="33"/>
      <c r="IF13" s="33"/>
      <c r="IP13" s="33"/>
      <c r="IZ13" s="33"/>
      <c r="JJ13" s="33"/>
      <c r="JT13" s="33"/>
      <c r="KD13" s="33"/>
      <c r="KN13" s="33"/>
      <c r="KX13" s="33"/>
      <c r="LH13" s="33"/>
      <c r="LR13" s="33"/>
      <c r="MB13" s="33"/>
      <c r="ML13" s="33"/>
      <c r="MV13" s="33"/>
      <c r="NF13" s="33"/>
      <c r="NP13" s="33"/>
      <c r="NZ13" s="33"/>
      <c r="OJ13" s="33"/>
      <c r="OT13" s="33"/>
      <c r="PD13" s="33"/>
      <c r="PN13" s="33"/>
      <c r="PX13" s="33"/>
      <c r="QH13" s="33"/>
      <c r="QR13" s="33"/>
      <c r="RB13" s="33"/>
      <c r="RL13" s="33"/>
      <c r="RV13" s="33"/>
      <c r="SF13" s="33"/>
      <c r="SP13" s="33"/>
      <c r="SZ13" s="33"/>
      <c r="TJ13" s="33"/>
      <c r="TT13" s="33"/>
      <c r="UD13" s="33"/>
      <c r="UN13" s="33"/>
      <c r="UX13" s="33"/>
      <c r="VH13" s="33"/>
      <c r="VR13" s="33"/>
      <c r="WB13" s="33"/>
      <c r="WL13" s="33"/>
      <c r="WV13" s="33"/>
      <c r="XF13" s="33"/>
      <c r="XP13" s="33"/>
      <c r="XZ13" s="33"/>
      <c r="YJ13" s="33"/>
      <c r="YT13" s="33"/>
      <c r="ZD13" s="33"/>
      <c r="ZN13" s="33"/>
      <c r="ZX13" s="33"/>
      <c r="AAH13" s="33"/>
      <c r="AAR13" s="33"/>
      <c r="ABB13" s="33"/>
      <c r="ABL13" s="33"/>
      <c r="ABV13" s="33"/>
      <c r="ACF13" s="33"/>
      <c r="ACP13" s="33"/>
      <c r="ACZ13" s="33"/>
      <c r="ADJ13" s="33"/>
      <c r="ADT13" s="33"/>
      <c r="AED13" s="33"/>
      <c r="AEN13" s="33"/>
      <c r="AEX13" s="33"/>
      <c r="AFH13" s="33"/>
      <c r="AFR13" s="33"/>
      <c r="AGB13" s="33"/>
      <c r="AGL13" s="33"/>
      <c r="AGV13" s="33"/>
      <c r="AHF13" s="33"/>
      <c r="AHP13" s="33"/>
      <c r="AHZ13" s="33"/>
      <c r="AIJ13" s="33"/>
      <c r="AIT13" s="33"/>
      <c r="AJD13" s="33"/>
      <c r="AJN13" s="33"/>
      <c r="AJX13" s="33"/>
      <c r="AKH13" s="33"/>
      <c r="AKR13" s="33"/>
      <c r="ALB13" s="33"/>
      <c r="ALL13" s="33"/>
      <c r="ALV13" s="33"/>
      <c r="AMF13" s="33"/>
      <c r="AMP13" s="33"/>
      <c r="AMZ13" s="33"/>
      <c r="ANJ13" s="33"/>
      <c r="ANT13" s="33"/>
      <c r="AOD13" s="33"/>
      <c r="AON13" s="33"/>
      <c r="AOX13" s="33"/>
      <c r="APH13" s="33"/>
      <c r="APR13" s="33"/>
      <c r="AQB13" s="33"/>
      <c r="AQL13" s="33"/>
      <c r="AQV13" s="33"/>
      <c r="ARF13" s="33"/>
      <c r="ARP13" s="33"/>
      <c r="ARZ13" s="33"/>
      <c r="ASJ13" s="33"/>
      <c r="AST13" s="33"/>
      <c r="ATD13" s="33"/>
      <c r="ATN13" s="33"/>
      <c r="ATX13" s="33"/>
      <c r="AUH13" s="33"/>
      <c r="AUR13" s="33"/>
      <c r="AVB13" s="33"/>
      <c r="AVL13" s="33"/>
      <c r="AVV13" s="33"/>
      <c r="AWF13" s="33"/>
      <c r="AWP13" s="33"/>
      <c r="AWZ13" s="33"/>
      <c r="AXJ13" s="33"/>
      <c r="AXT13" s="33"/>
      <c r="AYD13" s="33"/>
      <c r="AYN13" s="33"/>
      <c r="AYX13" s="33"/>
      <c r="AZH13" s="33"/>
      <c r="AZR13" s="33"/>
      <c r="BAB13" s="33"/>
      <c r="BAL13" s="33"/>
      <c r="BAV13" s="33"/>
      <c r="BBF13" s="33"/>
      <c r="BBP13" s="33"/>
      <c r="BBZ13" s="33"/>
      <c r="BCJ13" s="33"/>
      <c r="BCT13" s="33"/>
      <c r="BDD13" s="33"/>
      <c r="BDN13" s="33"/>
      <c r="BDX13" s="33"/>
      <c r="BEH13" s="33"/>
      <c r="BER13" s="33"/>
      <c r="BFB13" s="33"/>
      <c r="BFL13" s="33"/>
      <c r="BFV13" s="33"/>
      <c r="BGF13" s="33"/>
      <c r="BGP13" s="33"/>
      <c r="BGZ13" s="33"/>
      <c r="BHJ13" s="33"/>
      <c r="BHT13" s="33"/>
      <c r="BID13" s="33"/>
      <c r="BIN13" s="33"/>
      <c r="BIX13" s="33"/>
      <c r="BJH13" s="33"/>
      <c r="BJR13" s="33"/>
      <c r="BKB13" s="33"/>
      <c r="BKL13" s="33"/>
      <c r="BKV13" s="33"/>
      <c r="BLF13" s="33"/>
      <c r="BLP13" s="33"/>
      <c r="BLZ13" s="33"/>
      <c r="BMJ13" s="33"/>
      <c r="BMT13" s="33"/>
      <c r="BND13" s="33"/>
      <c r="BNN13" s="33"/>
      <c r="BNX13" s="33"/>
      <c r="BOH13" s="33"/>
      <c r="BOR13" s="33"/>
      <c r="BPB13" s="33"/>
      <c r="BPL13" s="33"/>
      <c r="BPV13" s="33"/>
      <c r="BQF13" s="33"/>
      <c r="BQP13" s="33"/>
      <c r="BQZ13" s="33"/>
      <c r="BRJ13" s="33"/>
      <c r="BRT13" s="33"/>
      <c r="BSD13" s="33"/>
      <c r="BSN13" s="33"/>
      <c r="BSX13" s="33"/>
      <c r="BTH13" s="33"/>
      <c r="BTR13" s="33"/>
      <c r="BUB13" s="33"/>
      <c r="BUL13" s="33"/>
      <c r="BUV13" s="33"/>
      <c r="BVF13" s="33"/>
      <c r="BVP13" s="33"/>
      <c r="BVZ13" s="33"/>
      <c r="BWJ13" s="33"/>
      <c r="BWT13" s="33"/>
      <c r="BXD13" s="33"/>
      <c r="BXN13" s="33"/>
      <c r="BXX13" s="33"/>
      <c r="BYH13" s="33"/>
      <c r="BYR13" s="33"/>
      <c r="BZB13" s="33"/>
      <c r="BZL13" s="33"/>
      <c r="BZV13" s="33"/>
      <c r="CAF13" s="33"/>
      <c r="CAP13" s="33"/>
      <c r="CAZ13" s="33"/>
      <c r="CBJ13" s="33"/>
      <c r="CBT13" s="33"/>
      <c r="CCD13" s="33"/>
      <c r="CCN13" s="33"/>
      <c r="CCX13" s="33"/>
      <c r="CDH13" s="33"/>
      <c r="CDR13" s="33"/>
      <c r="CEB13" s="33"/>
      <c r="CEL13" s="33"/>
      <c r="CEV13" s="33"/>
      <c r="CFF13" s="33"/>
      <c r="CFP13" s="33"/>
      <c r="CFZ13" s="33"/>
      <c r="CGJ13" s="33"/>
      <c r="CGT13" s="33"/>
      <c r="CHD13" s="33"/>
      <c r="CHN13" s="33"/>
      <c r="CHX13" s="33"/>
      <c r="CIH13" s="33"/>
      <c r="CIR13" s="33"/>
      <c r="CJB13" s="33"/>
      <c r="CJL13" s="33"/>
      <c r="CJV13" s="33"/>
      <c r="CKF13" s="33"/>
      <c r="CKP13" s="33"/>
      <c r="CKZ13" s="33"/>
      <c r="CLJ13" s="33"/>
      <c r="CLT13" s="33"/>
      <c r="CMD13" s="33"/>
      <c r="CMN13" s="33"/>
      <c r="CMX13" s="33"/>
      <c r="CNH13" s="33"/>
      <c r="CNR13" s="33"/>
      <c r="COB13" s="33"/>
      <c r="COL13" s="33"/>
      <c r="COV13" s="33"/>
      <c r="CPF13" s="33"/>
      <c r="CPP13" s="33"/>
      <c r="CPZ13" s="33"/>
      <c r="CQJ13" s="33"/>
      <c r="CQT13" s="33"/>
      <c r="CRD13" s="33"/>
      <c r="CRN13" s="33"/>
      <c r="CRX13" s="33"/>
      <c r="CSH13" s="33"/>
      <c r="CSR13" s="33"/>
      <c r="CTB13" s="33"/>
      <c r="CTL13" s="33"/>
      <c r="CTV13" s="33"/>
    </row>
    <row r="14" s="16" customFormat="1" customHeight="1" spans="1:1020 1030:2040 2050:2570">
      <c r="A14" s="51"/>
      <c r="B14" s="7"/>
      <c r="C14" s="8"/>
      <c r="D14" s="55"/>
      <c r="E14" s="9"/>
      <c r="F14" s="53"/>
      <c r="G14" s="52"/>
      <c r="H14" s="53"/>
      <c r="I14" s="53"/>
      <c r="J14" s="52"/>
      <c r="K14" s="54"/>
      <c r="T14" s="33"/>
      <c r="AD14" s="33"/>
      <c r="AN14" s="33"/>
      <c r="AX14" s="33"/>
      <c r="BH14" s="33"/>
      <c r="BR14" s="33"/>
      <c r="CB14" s="33"/>
      <c r="CL14" s="33"/>
      <c r="CV14" s="33"/>
      <c r="DF14" s="33"/>
      <c r="DP14" s="33"/>
      <c r="DZ14" s="33"/>
      <c r="EJ14" s="33"/>
      <c r="ET14" s="33"/>
      <c r="FD14" s="33"/>
      <c r="FN14" s="33"/>
      <c r="FX14" s="33"/>
      <c r="GH14" s="33"/>
      <c r="GR14" s="33"/>
      <c r="HB14" s="33"/>
      <c r="HL14" s="33"/>
      <c r="HV14" s="33"/>
      <c r="IF14" s="33"/>
      <c r="IP14" s="33"/>
      <c r="IZ14" s="33"/>
      <c r="JJ14" s="33"/>
      <c r="JT14" s="33"/>
      <c r="KD14" s="33"/>
      <c r="KN14" s="33"/>
      <c r="KX14" s="33"/>
      <c r="LH14" s="33"/>
      <c r="LR14" s="33"/>
      <c r="MB14" s="33"/>
      <c r="ML14" s="33"/>
      <c r="MV14" s="33"/>
      <c r="NF14" s="33"/>
      <c r="NP14" s="33"/>
      <c r="NZ14" s="33"/>
      <c r="OJ14" s="33"/>
      <c r="OT14" s="33"/>
      <c r="PD14" s="33"/>
      <c r="PN14" s="33"/>
      <c r="PX14" s="33"/>
      <c r="QH14" s="33"/>
      <c r="QR14" s="33"/>
      <c r="RB14" s="33"/>
      <c r="RL14" s="33"/>
      <c r="RV14" s="33"/>
      <c r="SF14" s="33"/>
      <c r="SP14" s="33"/>
      <c r="SZ14" s="33"/>
      <c r="TJ14" s="33"/>
      <c r="TT14" s="33"/>
      <c r="UD14" s="33"/>
      <c r="UN14" s="33"/>
      <c r="UX14" s="33"/>
      <c r="VH14" s="33"/>
      <c r="VR14" s="33"/>
      <c r="WB14" s="33"/>
      <c r="WL14" s="33"/>
      <c r="WV14" s="33"/>
      <c r="XF14" s="33"/>
      <c r="XP14" s="33"/>
      <c r="XZ14" s="33"/>
      <c r="YJ14" s="33"/>
      <c r="YT14" s="33"/>
      <c r="ZD14" s="33"/>
      <c r="ZN14" s="33"/>
      <c r="ZX14" s="33"/>
      <c r="AAH14" s="33"/>
      <c r="AAR14" s="33"/>
      <c r="ABB14" s="33"/>
      <c r="ABL14" s="33"/>
      <c r="ABV14" s="33"/>
      <c r="ACF14" s="33"/>
      <c r="ACP14" s="33"/>
      <c r="ACZ14" s="33"/>
      <c r="ADJ14" s="33"/>
      <c r="ADT14" s="33"/>
      <c r="AED14" s="33"/>
      <c r="AEN14" s="33"/>
      <c r="AEX14" s="33"/>
      <c r="AFH14" s="33"/>
      <c r="AFR14" s="33"/>
      <c r="AGB14" s="33"/>
      <c r="AGL14" s="33"/>
      <c r="AGV14" s="33"/>
      <c r="AHF14" s="33"/>
      <c r="AHP14" s="33"/>
      <c r="AHZ14" s="33"/>
      <c r="AIJ14" s="33"/>
      <c r="AIT14" s="33"/>
      <c r="AJD14" s="33"/>
      <c r="AJN14" s="33"/>
      <c r="AJX14" s="33"/>
      <c r="AKH14" s="33"/>
      <c r="AKR14" s="33"/>
      <c r="ALB14" s="33"/>
      <c r="ALL14" s="33"/>
      <c r="ALV14" s="33"/>
      <c r="AMF14" s="33"/>
      <c r="AMP14" s="33"/>
      <c r="AMZ14" s="33"/>
      <c r="ANJ14" s="33"/>
      <c r="ANT14" s="33"/>
      <c r="AOD14" s="33"/>
      <c r="AON14" s="33"/>
      <c r="AOX14" s="33"/>
      <c r="APH14" s="33"/>
      <c r="APR14" s="33"/>
      <c r="AQB14" s="33"/>
      <c r="AQL14" s="33"/>
      <c r="AQV14" s="33"/>
      <c r="ARF14" s="33"/>
      <c r="ARP14" s="33"/>
      <c r="ARZ14" s="33"/>
      <c r="ASJ14" s="33"/>
      <c r="AST14" s="33"/>
      <c r="ATD14" s="33"/>
      <c r="ATN14" s="33"/>
      <c r="ATX14" s="33"/>
      <c r="AUH14" s="33"/>
      <c r="AUR14" s="33"/>
      <c r="AVB14" s="33"/>
      <c r="AVL14" s="33"/>
      <c r="AVV14" s="33"/>
      <c r="AWF14" s="33"/>
      <c r="AWP14" s="33"/>
      <c r="AWZ14" s="33"/>
      <c r="AXJ14" s="33"/>
      <c r="AXT14" s="33"/>
      <c r="AYD14" s="33"/>
      <c r="AYN14" s="33"/>
      <c r="AYX14" s="33"/>
      <c r="AZH14" s="33"/>
      <c r="AZR14" s="33"/>
      <c r="BAB14" s="33"/>
      <c r="BAL14" s="33"/>
      <c r="BAV14" s="33"/>
      <c r="BBF14" s="33"/>
      <c r="BBP14" s="33"/>
      <c r="BBZ14" s="33"/>
      <c r="BCJ14" s="33"/>
      <c r="BCT14" s="33"/>
      <c r="BDD14" s="33"/>
      <c r="BDN14" s="33"/>
      <c r="BDX14" s="33"/>
      <c r="BEH14" s="33"/>
      <c r="BER14" s="33"/>
      <c r="BFB14" s="33"/>
      <c r="BFL14" s="33"/>
      <c r="BFV14" s="33"/>
      <c r="BGF14" s="33"/>
      <c r="BGP14" s="33"/>
      <c r="BGZ14" s="33"/>
      <c r="BHJ14" s="33"/>
      <c r="BHT14" s="33"/>
      <c r="BID14" s="33"/>
      <c r="BIN14" s="33"/>
      <c r="BIX14" s="33"/>
      <c r="BJH14" s="33"/>
      <c r="BJR14" s="33"/>
      <c r="BKB14" s="33"/>
      <c r="BKL14" s="33"/>
      <c r="BKV14" s="33"/>
      <c r="BLF14" s="33"/>
      <c r="BLP14" s="33"/>
      <c r="BLZ14" s="33"/>
      <c r="BMJ14" s="33"/>
      <c r="BMT14" s="33"/>
      <c r="BND14" s="33"/>
      <c r="BNN14" s="33"/>
      <c r="BNX14" s="33"/>
      <c r="BOH14" s="33"/>
      <c r="BOR14" s="33"/>
      <c r="BPB14" s="33"/>
      <c r="BPL14" s="33"/>
      <c r="BPV14" s="33"/>
      <c r="BQF14" s="33"/>
      <c r="BQP14" s="33"/>
      <c r="BQZ14" s="33"/>
      <c r="BRJ14" s="33"/>
      <c r="BRT14" s="33"/>
      <c r="BSD14" s="33"/>
      <c r="BSN14" s="33"/>
      <c r="BSX14" s="33"/>
      <c r="BTH14" s="33"/>
      <c r="BTR14" s="33"/>
      <c r="BUB14" s="33"/>
      <c r="BUL14" s="33"/>
      <c r="BUV14" s="33"/>
      <c r="BVF14" s="33"/>
      <c r="BVP14" s="33"/>
      <c r="BVZ14" s="33"/>
      <c r="BWJ14" s="33"/>
      <c r="BWT14" s="33"/>
      <c r="BXD14" s="33"/>
      <c r="BXN14" s="33"/>
      <c r="BXX14" s="33"/>
      <c r="BYH14" s="33"/>
      <c r="BYR14" s="33"/>
      <c r="BZB14" s="33"/>
      <c r="BZL14" s="33"/>
      <c r="BZV14" s="33"/>
      <c r="CAF14" s="33"/>
      <c r="CAP14" s="33"/>
      <c r="CAZ14" s="33"/>
      <c r="CBJ14" s="33"/>
      <c r="CBT14" s="33"/>
      <c r="CCD14" s="33"/>
      <c r="CCN14" s="33"/>
      <c r="CCX14" s="33"/>
      <c r="CDH14" s="33"/>
      <c r="CDR14" s="33"/>
      <c r="CEB14" s="33"/>
      <c r="CEL14" s="33"/>
      <c r="CEV14" s="33"/>
      <c r="CFF14" s="33"/>
      <c r="CFP14" s="33"/>
      <c r="CFZ14" s="33"/>
      <c r="CGJ14" s="33"/>
      <c r="CGT14" s="33"/>
      <c r="CHD14" s="33"/>
      <c r="CHN14" s="33"/>
      <c r="CHX14" s="33"/>
      <c r="CIH14" s="33"/>
      <c r="CIR14" s="33"/>
      <c r="CJB14" s="33"/>
      <c r="CJL14" s="33"/>
      <c r="CJV14" s="33"/>
      <c r="CKF14" s="33"/>
      <c r="CKP14" s="33"/>
      <c r="CKZ14" s="33"/>
      <c r="CLJ14" s="33"/>
      <c r="CLT14" s="33"/>
      <c r="CMD14" s="33"/>
      <c r="CMN14" s="33"/>
      <c r="CMX14" s="33"/>
      <c r="CNH14" s="33"/>
      <c r="CNR14" s="33"/>
      <c r="COB14" s="33"/>
      <c r="COL14" s="33"/>
      <c r="COV14" s="33"/>
      <c r="CPF14" s="33"/>
      <c r="CPP14" s="33"/>
      <c r="CPZ14" s="33"/>
      <c r="CQJ14" s="33"/>
      <c r="CQT14" s="33"/>
      <c r="CRD14" s="33"/>
      <c r="CRN14" s="33"/>
      <c r="CRX14" s="33"/>
      <c r="CSH14" s="33"/>
      <c r="CSR14" s="33"/>
      <c r="CTB14" s="33"/>
      <c r="CTL14" s="33"/>
      <c r="CTV14" s="33"/>
    </row>
    <row r="15" s="16" customFormat="1" customHeight="1" spans="1:1020 1030:2040 2050:2570">
      <c r="A15" s="51"/>
      <c r="B15" s="7"/>
      <c r="C15" s="8"/>
      <c r="D15" s="52"/>
      <c r="E15" s="9"/>
      <c r="F15" s="53"/>
      <c r="G15" s="52"/>
      <c r="H15" s="53"/>
      <c r="I15" s="53"/>
      <c r="J15" s="52"/>
      <c r="K15" s="54"/>
      <c r="T15" s="33"/>
      <c r="AD15" s="33"/>
      <c r="AN15" s="33"/>
      <c r="AX15" s="33"/>
      <c r="BH15" s="33"/>
      <c r="BR15" s="33"/>
      <c r="CB15" s="33"/>
      <c r="CL15" s="33"/>
      <c r="CV15" s="33"/>
      <c r="DF15" s="33"/>
      <c r="DP15" s="33"/>
      <c r="DZ15" s="33"/>
      <c r="EJ15" s="33"/>
      <c r="ET15" s="33"/>
      <c r="FD15" s="33"/>
      <c r="FN15" s="33"/>
      <c r="FX15" s="33"/>
      <c r="GH15" s="33"/>
      <c r="GR15" s="33"/>
      <c r="HB15" s="33"/>
      <c r="HL15" s="33"/>
      <c r="HV15" s="33"/>
      <c r="IF15" s="33"/>
      <c r="IP15" s="33"/>
      <c r="IZ15" s="33"/>
      <c r="JJ15" s="33"/>
      <c r="JT15" s="33"/>
      <c r="KD15" s="33"/>
      <c r="KN15" s="33"/>
      <c r="KX15" s="33"/>
      <c r="LH15" s="33"/>
      <c r="LR15" s="33"/>
      <c r="MB15" s="33"/>
      <c r="ML15" s="33"/>
      <c r="MV15" s="33"/>
      <c r="NF15" s="33"/>
      <c r="NP15" s="33"/>
      <c r="NZ15" s="33"/>
      <c r="OJ15" s="33"/>
      <c r="OT15" s="33"/>
      <c r="PD15" s="33"/>
      <c r="PN15" s="33"/>
      <c r="PX15" s="33"/>
      <c r="QH15" s="33"/>
      <c r="QR15" s="33"/>
      <c r="RB15" s="33"/>
      <c r="RL15" s="33"/>
      <c r="RV15" s="33"/>
      <c r="SF15" s="33"/>
      <c r="SP15" s="33"/>
      <c r="SZ15" s="33"/>
      <c r="TJ15" s="33"/>
      <c r="TT15" s="33"/>
      <c r="UD15" s="33"/>
      <c r="UN15" s="33"/>
      <c r="UX15" s="33"/>
      <c r="VH15" s="33"/>
      <c r="VR15" s="33"/>
      <c r="WB15" s="33"/>
      <c r="WL15" s="33"/>
      <c r="WV15" s="33"/>
      <c r="XF15" s="33"/>
      <c r="XP15" s="33"/>
      <c r="XZ15" s="33"/>
      <c r="YJ15" s="33"/>
      <c r="YT15" s="33"/>
      <c r="ZD15" s="33"/>
      <c r="ZN15" s="33"/>
      <c r="ZX15" s="33"/>
      <c r="AAH15" s="33"/>
      <c r="AAR15" s="33"/>
      <c r="ABB15" s="33"/>
      <c r="ABL15" s="33"/>
      <c r="ABV15" s="33"/>
      <c r="ACF15" s="33"/>
      <c r="ACP15" s="33"/>
      <c r="ACZ15" s="33"/>
      <c r="ADJ15" s="33"/>
      <c r="ADT15" s="33"/>
      <c r="AED15" s="33"/>
      <c r="AEN15" s="33"/>
      <c r="AEX15" s="33"/>
      <c r="AFH15" s="33"/>
      <c r="AFR15" s="33"/>
      <c r="AGB15" s="33"/>
      <c r="AGL15" s="33"/>
      <c r="AGV15" s="33"/>
      <c r="AHF15" s="33"/>
      <c r="AHP15" s="33"/>
      <c r="AHZ15" s="33"/>
      <c r="AIJ15" s="33"/>
      <c r="AIT15" s="33"/>
      <c r="AJD15" s="33"/>
      <c r="AJN15" s="33"/>
      <c r="AJX15" s="33"/>
      <c r="AKH15" s="33"/>
      <c r="AKR15" s="33"/>
      <c r="ALB15" s="33"/>
      <c r="ALL15" s="33"/>
      <c r="ALV15" s="33"/>
      <c r="AMF15" s="33"/>
      <c r="AMP15" s="33"/>
      <c r="AMZ15" s="33"/>
      <c r="ANJ15" s="33"/>
      <c r="ANT15" s="33"/>
      <c r="AOD15" s="33"/>
      <c r="AON15" s="33"/>
      <c r="AOX15" s="33"/>
      <c r="APH15" s="33"/>
      <c r="APR15" s="33"/>
      <c r="AQB15" s="33"/>
      <c r="AQL15" s="33"/>
      <c r="AQV15" s="33"/>
      <c r="ARF15" s="33"/>
      <c r="ARP15" s="33"/>
      <c r="ARZ15" s="33"/>
      <c r="ASJ15" s="33"/>
      <c r="AST15" s="33"/>
      <c r="ATD15" s="33"/>
      <c r="ATN15" s="33"/>
      <c r="ATX15" s="33"/>
      <c r="AUH15" s="33"/>
      <c r="AUR15" s="33"/>
      <c r="AVB15" s="33"/>
      <c r="AVL15" s="33"/>
      <c r="AVV15" s="33"/>
      <c r="AWF15" s="33"/>
      <c r="AWP15" s="33"/>
      <c r="AWZ15" s="33"/>
      <c r="AXJ15" s="33"/>
      <c r="AXT15" s="33"/>
      <c r="AYD15" s="33"/>
      <c r="AYN15" s="33"/>
      <c r="AYX15" s="33"/>
      <c r="AZH15" s="33"/>
      <c r="AZR15" s="33"/>
      <c r="BAB15" s="33"/>
      <c r="BAL15" s="33"/>
      <c r="BAV15" s="33"/>
      <c r="BBF15" s="33"/>
      <c r="BBP15" s="33"/>
      <c r="BBZ15" s="33"/>
      <c r="BCJ15" s="33"/>
      <c r="BCT15" s="33"/>
      <c r="BDD15" s="33"/>
      <c r="BDN15" s="33"/>
      <c r="BDX15" s="33"/>
      <c r="BEH15" s="33"/>
      <c r="BER15" s="33"/>
      <c r="BFB15" s="33"/>
      <c r="BFL15" s="33"/>
      <c r="BFV15" s="33"/>
      <c r="BGF15" s="33"/>
      <c r="BGP15" s="33"/>
      <c r="BGZ15" s="33"/>
      <c r="BHJ15" s="33"/>
      <c r="BHT15" s="33"/>
      <c r="BID15" s="33"/>
      <c r="BIN15" s="33"/>
      <c r="BIX15" s="33"/>
      <c r="BJH15" s="33"/>
      <c r="BJR15" s="33"/>
      <c r="BKB15" s="33"/>
      <c r="BKL15" s="33"/>
      <c r="BKV15" s="33"/>
      <c r="BLF15" s="33"/>
      <c r="BLP15" s="33"/>
      <c r="BLZ15" s="33"/>
      <c r="BMJ15" s="33"/>
      <c r="BMT15" s="33"/>
      <c r="BND15" s="33"/>
      <c r="BNN15" s="33"/>
      <c r="BNX15" s="33"/>
      <c r="BOH15" s="33"/>
      <c r="BOR15" s="33"/>
      <c r="BPB15" s="33"/>
      <c r="BPL15" s="33"/>
      <c r="BPV15" s="33"/>
      <c r="BQF15" s="33"/>
      <c r="BQP15" s="33"/>
      <c r="BQZ15" s="33"/>
      <c r="BRJ15" s="33"/>
      <c r="BRT15" s="33"/>
      <c r="BSD15" s="33"/>
      <c r="BSN15" s="33"/>
      <c r="BSX15" s="33"/>
      <c r="BTH15" s="33"/>
      <c r="BTR15" s="33"/>
      <c r="BUB15" s="33"/>
      <c r="BUL15" s="33"/>
      <c r="BUV15" s="33"/>
      <c r="BVF15" s="33"/>
      <c r="BVP15" s="33"/>
      <c r="BVZ15" s="33"/>
      <c r="BWJ15" s="33"/>
      <c r="BWT15" s="33"/>
      <c r="BXD15" s="33"/>
      <c r="BXN15" s="33"/>
      <c r="BXX15" s="33"/>
      <c r="BYH15" s="33"/>
      <c r="BYR15" s="33"/>
      <c r="BZB15" s="33"/>
      <c r="BZL15" s="33"/>
      <c r="BZV15" s="33"/>
      <c r="CAF15" s="33"/>
      <c r="CAP15" s="33"/>
      <c r="CAZ15" s="33"/>
      <c r="CBJ15" s="33"/>
      <c r="CBT15" s="33"/>
      <c r="CCD15" s="33"/>
      <c r="CCN15" s="33"/>
      <c r="CCX15" s="33"/>
      <c r="CDH15" s="33"/>
      <c r="CDR15" s="33"/>
      <c r="CEB15" s="33"/>
      <c r="CEL15" s="33"/>
      <c r="CEV15" s="33"/>
      <c r="CFF15" s="33"/>
      <c r="CFP15" s="33"/>
      <c r="CFZ15" s="33"/>
      <c r="CGJ15" s="33"/>
      <c r="CGT15" s="33"/>
      <c r="CHD15" s="33"/>
      <c r="CHN15" s="33"/>
      <c r="CHX15" s="33"/>
      <c r="CIH15" s="33"/>
      <c r="CIR15" s="33"/>
      <c r="CJB15" s="33"/>
      <c r="CJL15" s="33"/>
      <c r="CJV15" s="33"/>
      <c r="CKF15" s="33"/>
      <c r="CKP15" s="33"/>
      <c r="CKZ15" s="33"/>
      <c r="CLJ15" s="33"/>
      <c r="CLT15" s="33"/>
      <c r="CMD15" s="33"/>
      <c r="CMN15" s="33"/>
      <c r="CMX15" s="33"/>
      <c r="CNH15" s="33"/>
      <c r="CNR15" s="33"/>
      <c r="COB15" s="33"/>
      <c r="COL15" s="33"/>
      <c r="COV15" s="33"/>
      <c r="CPF15" s="33"/>
      <c r="CPP15" s="33"/>
      <c r="CPZ15" s="33"/>
      <c r="CQJ15" s="33"/>
      <c r="CQT15" s="33"/>
      <c r="CRD15" s="33"/>
      <c r="CRN15" s="33"/>
      <c r="CRX15" s="33"/>
      <c r="CSH15" s="33"/>
      <c r="CSR15" s="33"/>
      <c r="CTB15" s="33"/>
      <c r="CTL15" s="33"/>
      <c r="CTV15" s="33"/>
    </row>
    <row r="16" s="16" customFormat="1" customHeight="1" spans="1:1020 1030:2040 2050:2570">
      <c r="A16" s="51"/>
      <c r="B16" s="7"/>
      <c r="C16" s="8"/>
      <c r="D16" s="55"/>
      <c r="E16" s="9"/>
      <c r="F16" s="53"/>
      <c r="G16" s="52"/>
      <c r="H16" s="53"/>
      <c r="I16" s="53"/>
      <c r="J16" s="52"/>
      <c r="K16" s="54"/>
      <c r="T16" s="33"/>
      <c r="AD16" s="33"/>
      <c r="AN16" s="33"/>
      <c r="AX16" s="33"/>
      <c r="BH16" s="33"/>
      <c r="BR16" s="33"/>
      <c r="CB16" s="33"/>
      <c r="CL16" s="33"/>
      <c r="CV16" s="33"/>
      <c r="DF16" s="33"/>
      <c r="DP16" s="33"/>
      <c r="DZ16" s="33"/>
      <c r="EJ16" s="33"/>
      <c r="ET16" s="33"/>
      <c r="FD16" s="33"/>
      <c r="FN16" s="33"/>
      <c r="FX16" s="33"/>
      <c r="GH16" s="33"/>
      <c r="GR16" s="33"/>
      <c r="HB16" s="33"/>
      <c r="HL16" s="33"/>
      <c r="HV16" s="33"/>
      <c r="IF16" s="33"/>
      <c r="IP16" s="33"/>
      <c r="IZ16" s="33"/>
      <c r="JJ16" s="33"/>
      <c r="JT16" s="33"/>
      <c r="KD16" s="33"/>
      <c r="KN16" s="33"/>
      <c r="KX16" s="33"/>
      <c r="LH16" s="33"/>
      <c r="LR16" s="33"/>
      <c r="MB16" s="33"/>
      <c r="ML16" s="33"/>
      <c r="MV16" s="33"/>
      <c r="NF16" s="33"/>
      <c r="NP16" s="33"/>
      <c r="NZ16" s="33"/>
      <c r="OJ16" s="33"/>
      <c r="OT16" s="33"/>
      <c r="PD16" s="33"/>
      <c r="PN16" s="33"/>
      <c r="PX16" s="33"/>
      <c r="QH16" s="33"/>
      <c r="QR16" s="33"/>
      <c r="RB16" s="33"/>
      <c r="RL16" s="33"/>
      <c r="RV16" s="33"/>
      <c r="SF16" s="33"/>
      <c r="SP16" s="33"/>
      <c r="SZ16" s="33"/>
      <c r="TJ16" s="33"/>
      <c r="TT16" s="33"/>
      <c r="UD16" s="33"/>
      <c r="UN16" s="33"/>
      <c r="UX16" s="33"/>
      <c r="VH16" s="33"/>
      <c r="VR16" s="33"/>
      <c r="WB16" s="33"/>
      <c r="WL16" s="33"/>
      <c r="WV16" s="33"/>
      <c r="XF16" s="33"/>
      <c r="XP16" s="33"/>
      <c r="XZ16" s="33"/>
      <c r="YJ16" s="33"/>
      <c r="YT16" s="33"/>
      <c r="ZD16" s="33"/>
      <c r="ZN16" s="33"/>
      <c r="ZX16" s="33"/>
      <c r="AAH16" s="33"/>
      <c r="AAR16" s="33"/>
      <c r="ABB16" s="33"/>
      <c r="ABL16" s="33"/>
      <c r="ABV16" s="33"/>
      <c r="ACF16" s="33"/>
      <c r="ACP16" s="33"/>
      <c r="ACZ16" s="33"/>
      <c r="ADJ16" s="33"/>
      <c r="ADT16" s="33"/>
      <c r="AED16" s="33"/>
      <c r="AEN16" s="33"/>
      <c r="AEX16" s="33"/>
      <c r="AFH16" s="33"/>
      <c r="AFR16" s="33"/>
      <c r="AGB16" s="33"/>
      <c r="AGL16" s="33"/>
      <c r="AGV16" s="33"/>
      <c r="AHF16" s="33"/>
      <c r="AHP16" s="33"/>
      <c r="AHZ16" s="33"/>
      <c r="AIJ16" s="33"/>
      <c r="AIT16" s="33"/>
      <c r="AJD16" s="33"/>
      <c r="AJN16" s="33"/>
      <c r="AJX16" s="33"/>
      <c r="AKH16" s="33"/>
      <c r="AKR16" s="33"/>
      <c r="ALB16" s="33"/>
      <c r="ALL16" s="33"/>
      <c r="ALV16" s="33"/>
      <c r="AMF16" s="33"/>
      <c r="AMP16" s="33"/>
      <c r="AMZ16" s="33"/>
      <c r="ANJ16" s="33"/>
      <c r="ANT16" s="33"/>
      <c r="AOD16" s="33"/>
      <c r="AON16" s="33"/>
      <c r="AOX16" s="33"/>
      <c r="APH16" s="33"/>
      <c r="APR16" s="33"/>
      <c r="AQB16" s="33"/>
      <c r="AQL16" s="33"/>
      <c r="AQV16" s="33"/>
      <c r="ARF16" s="33"/>
      <c r="ARP16" s="33"/>
      <c r="ARZ16" s="33"/>
      <c r="ASJ16" s="33"/>
      <c r="AST16" s="33"/>
      <c r="ATD16" s="33"/>
      <c r="ATN16" s="33"/>
      <c r="ATX16" s="33"/>
      <c r="AUH16" s="33"/>
      <c r="AUR16" s="33"/>
      <c r="AVB16" s="33"/>
      <c r="AVL16" s="33"/>
      <c r="AVV16" s="33"/>
      <c r="AWF16" s="33"/>
      <c r="AWP16" s="33"/>
      <c r="AWZ16" s="33"/>
      <c r="AXJ16" s="33"/>
      <c r="AXT16" s="33"/>
      <c r="AYD16" s="33"/>
      <c r="AYN16" s="33"/>
      <c r="AYX16" s="33"/>
      <c r="AZH16" s="33"/>
      <c r="AZR16" s="33"/>
      <c r="BAB16" s="33"/>
      <c r="BAL16" s="33"/>
      <c r="BAV16" s="33"/>
      <c r="BBF16" s="33"/>
      <c r="BBP16" s="33"/>
      <c r="BBZ16" s="33"/>
      <c r="BCJ16" s="33"/>
      <c r="BCT16" s="33"/>
      <c r="BDD16" s="33"/>
      <c r="BDN16" s="33"/>
      <c r="BDX16" s="33"/>
      <c r="BEH16" s="33"/>
      <c r="BER16" s="33"/>
      <c r="BFB16" s="33"/>
      <c r="BFL16" s="33"/>
      <c r="BFV16" s="33"/>
      <c r="BGF16" s="33"/>
      <c r="BGP16" s="33"/>
      <c r="BGZ16" s="33"/>
      <c r="BHJ16" s="33"/>
      <c r="BHT16" s="33"/>
      <c r="BID16" s="33"/>
      <c r="BIN16" s="33"/>
      <c r="BIX16" s="33"/>
      <c r="BJH16" s="33"/>
      <c r="BJR16" s="33"/>
      <c r="BKB16" s="33"/>
      <c r="BKL16" s="33"/>
      <c r="BKV16" s="33"/>
      <c r="BLF16" s="33"/>
      <c r="BLP16" s="33"/>
      <c r="BLZ16" s="33"/>
      <c r="BMJ16" s="33"/>
      <c r="BMT16" s="33"/>
      <c r="BND16" s="33"/>
      <c r="BNN16" s="33"/>
      <c r="BNX16" s="33"/>
      <c r="BOH16" s="33"/>
      <c r="BOR16" s="33"/>
      <c r="BPB16" s="33"/>
      <c r="BPL16" s="33"/>
      <c r="BPV16" s="33"/>
      <c r="BQF16" s="33"/>
      <c r="BQP16" s="33"/>
      <c r="BQZ16" s="33"/>
      <c r="BRJ16" s="33"/>
      <c r="BRT16" s="33"/>
      <c r="BSD16" s="33"/>
      <c r="BSN16" s="33"/>
      <c r="BSX16" s="33"/>
      <c r="BTH16" s="33"/>
      <c r="BTR16" s="33"/>
      <c r="BUB16" s="33"/>
      <c r="BUL16" s="33"/>
      <c r="BUV16" s="33"/>
      <c r="BVF16" s="33"/>
      <c r="BVP16" s="33"/>
      <c r="BVZ16" s="33"/>
      <c r="BWJ16" s="33"/>
      <c r="BWT16" s="33"/>
      <c r="BXD16" s="33"/>
      <c r="BXN16" s="33"/>
      <c r="BXX16" s="33"/>
      <c r="BYH16" s="33"/>
      <c r="BYR16" s="33"/>
      <c r="BZB16" s="33"/>
      <c r="BZL16" s="33"/>
      <c r="BZV16" s="33"/>
      <c r="CAF16" s="33"/>
      <c r="CAP16" s="33"/>
      <c r="CAZ16" s="33"/>
      <c r="CBJ16" s="33"/>
      <c r="CBT16" s="33"/>
      <c r="CCD16" s="33"/>
      <c r="CCN16" s="33"/>
      <c r="CCX16" s="33"/>
      <c r="CDH16" s="33"/>
      <c r="CDR16" s="33"/>
      <c r="CEB16" s="33"/>
      <c r="CEL16" s="33"/>
      <c r="CEV16" s="33"/>
      <c r="CFF16" s="33"/>
      <c r="CFP16" s="33"/>
      <c r="CFZ16" s="33"/>
      <c r="CGJ16" s="33"/>
      <c r="CGT16" s="33"/>
      <c r="CHD16" s="33"/>
      <c r="CHN16" s="33"/>
      <c r="CHX16" s="33"/>
      <c r="CIH16" s="33"/>
      <c r="CIR16" s="33"/>
      <c r="CJB16" s="33"/>
      <c r="CJL16" s="33"/>
      <c r="CJV16" s="33"/>
      <c r="CKF16" s="33"/>
      <c r="CKP16" s="33"/>
      <c r="CKZ16" s="33"/>
      <c r="CLJ16" s="33"/>
      <c r="CLT16" s="33"/>
      <c r="CMD16" s="33"/>
      <c r="CMN16" s="33"/>
      <c r="CMX16" s="33"/>
      <c r="CNH16" s="33"/>
      <c r="CNR16" s="33"/>
      <c r="COB16" s="33"/>
      <c r="COL16" s="33"/>
      <c r="COV16" s="33"/>
      <c r="CPF16" s="33"/>
      <c r="CPP16" s="33"/>
      <c r="CPZ16" s="33"/>
      <c r="CQJ16" s="33"/>
      <c r="CQT16" s="33"/>
      <c r="CRD16" s="33"/>
      <c r="CRN16" s="33"/>
      <c r="CRX16" s="33"/>
      <c r="CSH16" s="33"/>
      <c r="CSR16" s="33"/>
      <c r="CTB16" s="33"/>
      <c r="CTL16" s="33"/>
      <c r="CTV16" s="33"/>
    </row>
    <row r="17" s="16" customFormat="1" customHeight="1" spans="1:1020 1030:2040 2050:2570">
      <c r="A17" s="51"/>
      <c r="B17" s="7"/>
      <c r="C17" s="8"/>
      <c r="D17" s="52"/>
      <c r="E17" s="9"/>
      <c r="F17" s="53"/>
      <c r="G17" s="52"/>
      <c r="H17" s="53"/>
      <c r="I17" s="53"/>
      <c r="J17" s="52"/>
      <c r="K17" s="54"/>
      <c r="T17" s="33"/>
      <c r="AD17" s="33"/>
      <c r="AN17" s="33"/>
      <c r="AX17" s="33"/>
      <c r="BH17" s="33"/>
      <c r="BR17" s="33"/>
      <c r="CB17" s="33"/>
      <c r="CL17" s="33"/>
      <c r="CV17" s="33"/>
      <c r="DF17" s="33"/>
      <c r="DP17" s="33"/>
      <c r="DZ17" s="33"/>
      <c r="EJ17" s="33"/>
      <c r="ET17" s="33"/>
      <c r="FD17" s="33"/>
      <c r="FN17" s="33"/>
      <c r="FX17" s="33"/>
      <c r="GH17" s="33"/>
      <c r="GR17" s="33"/>
      <c r="HB17" s="33"/>
      <c r="HL17" s="33"/>
      <c r="HV17" s="33"/>
      <c r="IF17" s="33"/>
      <c r="IP17" s="33"/>
      <c r="IZ17" s="33"/>
      <c r="JJ17" s="33"/>
      <c r="JT17" s="33"/>
      <c r="KD17" s="33"/>
      <c r="KN17" s="33"/>
      <c r="KX17" s="33"/>
      <c r="LH17" s="33"/>
      <c r="LR17" s="33"/>
      <c r="MB17" s="33"/>
      <c r="ML17" s="33"/>
      <c r="MV17" s="33"/>
      <c r="NF17" s="33"/>
      <c r="NP17" s="33"/>
      <c r="NZ17" s="33"/>
      <c r="OJ17" s="33"/>
      <c r="OT17" s="33"/>
      <c r="PD17" s="33"/>
      <c r="PN17" s="33"/>
      <c r="PX17" s="33"/>
      <c r="QH17" s="33"/>
      <c r="QR17" s="33"/>
      <c r="RB17" s="33"/>
      <c r="RL17" s="33"/>
      <c r="RV17" s="33"/>
      <c r="SF17" s="33"/>
      <c r="SP17" s="33"/>
      <c r="SZ17" s="33"/>
      <c r="TJ17" s="33"/>
      <c r="TT17" s="33"/>
      <c r="UD17" s="33"/>
      <c r="UN17" s="33"/>
      <c r="UX17" s="33"/>
      <c r="VH17" s="33"/>
      <c r="VR17" s="33"/>
      <c r="WB17" s="33"/>
      <c r="WL17" s="33"/>
      <c r="WV17" s="33"/>
      <c r="XF17" s="33"/>
      <c r="XP17" s="33"/>
      <c r="XZ17" s="33"/>
      <c r="YJ17" s="33"/>
      <c r="YT17" s="33"/>
      <c r="ZD17" s="33"/>
      <c r="ZN17" s="33"/>
      <c r="ZX17" s="33"/>
      <c r="AAH17" s="33"/>
      <c r="AAR17" s="33"/>
      <c r="ABB17" s="33"/>
      <c r="ABL17" s="33"/>
      <c r="ABV17" s="33"/>
      <c r="ACF17" s="33"/>
      <c r="ACP17" s="33"/>
      <c r="ACZ17" s="33"/>
      <c r="ADJ17" s="33"/>
      <c r="ADT17" s="33"/>
      <c r="AED17" s="33"/>
      <c r="AEN17" s="33"/>
      <c r="AEX17" s="33"/>
      <c r="AFH17" s="33"/>
      <c r="AFR17" s="33"/>
      <c r="AGB17" s="33"/>
      <c r="AGL17" s="33"/>
      <c r="AGV17" s="33"/>
      <c r="AHF17" s="33"/>
      <c r="AHP17" s="33"/>
      <c r="AHZ17" s="33"/>
      <c r="AIJ17" s="33"/>
      <c r="AIT17" s="33"/>
      <c r="AJD17" s="33"/>
      <c r="AJN17" s="33"/>
      <c r="AJX17" s="33"/>
      <c r="AKH17" s="33"/>
      <c r="AKR17" s="33"/>
      <c r="ALB17" s="33"/>
      <c r="ALL17" s="33"/>
      <c r="ALV17" s="33"/>
      <c r="AMF17" s="33"/>
      <c r="AMP17" s="33"/>
      <c r="AMZ17" s="33"/>
      <c r="ANJ17" s="33"/>
      <c r="ANT17" s="33"/>
      <c r="AOD17" s="33"/>
      <c r="AON17" s="33"/>
      <c r="AOX17" s="33"/>
      <c r="APH17" s="33"/>
      <c r="APR17" s="33"/>
      <c r="AQB17" s="33"/>
      <c r="AQL17" s="33"/>
      <c r="AQV17" s="33"/>
      <c r="ARF17" s="33"/>
      <c r="ARP17" s="33"/>
      <c r="ARZ17" s="33"/>
      <c r="ASJ17" s="33"/>
      <c r="AST17" s="33"/>
      <c r="ATD17" s="33"/>
      <c r="ATN17" s="33"/>
      <c r="ATX17" s="33"/>
      <c r="AUH17" s="33"/>
      <c r="AUR17" s="33"/>
      <c r="AVB17" s="33"/>
      <c r="AVL17" s="33"/>
      <c r="AVV17" s="33"/>
      <c r="AWF17" s="33"/>
      <c r="AWP17" s="33"/>
      <c r="AWZ17" s="33"/>
      <c r="AXJ17" s="33"/>
      <c r="AXT17" s="33"/>
      <c r="AYD17" s="33"/>
      <c r="AYN17" s="33"/>
      <c r="AYX17" s="33"/>
      <c r="AZH17" s="33"/>
      <c r="AZR17" s="33"/>
      <c r="BAB17" s="33"/>
      <c r="BAL17" s="33"/>
      <c r="BAV17" s="33"/>
      <c r="BBF17" s="33"/>
      <c r="BBP17" s="33"/>
      <c r="BBZ17" s="33"/>
      <c r="BCJ17" s="33"/>
      <c r="BCT17" s="33"/>
      <c r="BDD17" s="33"/>
      <c r="BDN17" s="33"/>
      <c r="BDX17" s="33"/>
      <c r="BEH17" s="33"/>
      <c r="BER17" s="33"/>
      <c r="BFB17" s="33"/>
      <c r="BFL17" s="33"/>
      <c r="BFV17" s="33"/>
      <c r="BGF17" s="33"/>
      <c r="BGP17" s="33"/>
      <c r="BGZ17" s="33"/>
      <c r="BHJ17" s="33"/>
      <c r="BHT17" s="33"/>
      <c r="BID17" s="33"/>
      <c r="BIN17" s="33"/>
      <c r="BIX17" s="33"/>
      <c r="BJH17" s="33"/>
      <c r="BJR17" s="33"/>
      <c r="BKB17" s="33"/>
      <c r="BKL17" s="33"/>
      <c r="BKV17" s="33"/>
      <c r="BLF17" s="33"/>
      <c r="BLP17" s="33"/>
      <c r="BLZ17" s="33"/>
      <c r="BMJ17" s="33"/>
      <c r="BMT17" s="33"/>
      <c r="BND17" s="33"/>
      <c r="BNN17" s="33"/>
      <c r="BNX17" s="33"/>
      <c r="BOH17" s="33"/>
      <c r="BOR17" s="33"/>
      <c r="BPB17" s="33"/>
      <c r="BPL17" s="33"/>
      <c r="BPV17" s="33"/>
      <c r="BQF17" s="33"/>
      <c r="BQP17" s="33"/>
      <c r="BQZ17" s="33"/>
      <c r="BRJ17" s="33"/>
      <c r="BRT17" s="33"/>
      <c r="BSD17" s="33"/>
      <c r="BSN17" s="33"/>
      <c r="BSX17" s="33"/>
      <c r="BTH17" s="33"/>
      <c r="BTR17" s="33"/>
      <c r="BUB17" s="33"/>
      <c r="BUL17" s="33"/>
      <c r="BUV17" s="33"/>
      <c r="BVF17" s="33"/>
      <c r="BVP17" s="33"/>
      <c r="BVZ17" s="33"/>
      <c r="BWJ17" s="33"/>
      <c r="BWT17" s="33"/>
      <c r="BXD17" s="33"/>
      <c r="BXN17" s="33"/>
      <c r="BXX17" s="33"/>
      <c r="BYH17" s="33"/>
      <c r="BYR17" s="33"/>
      <c r="BZB17" s="33"/>
      <c r="BZL17" s="33"/>
      <c r="BZV17" s="33"/>
      <c r="CAF17" s="33"/>
      <c r="CAP17" s="33"/>
      <c r="CAZ17" s="33"/>
      <c r="CBJ17" s="33"/>
      <c r="CBT17" s="33"/>
      <c r="CCD17" s="33"/>
      <c r="CCN17" s="33"/>
      <c r="CCX17" s="33"/>
      <c r="CDH17" s="33"/>
      <c r="CDR17" s="33"/>
      <c r="CEB17" s="33"/>
      <c r="CEL17" s="33"/>
      <c r="CEV17" s="33"/>
      <c r="CFF17" s="33"/>
      <c r="CFP17" s="33"/>
      <c r="CFZ17" s="33"/>
      <c r="CGJ17" s="33"/>
      <c r="CGT17" s="33"/>
      <c r="CHD17" s="33"/>
      <c r="CHN17" s="33"/>
      <c r="CHX17" s="33"/>
      <c r="CIH17" s="33"/>
      <c r="CIR17" s="33"/>
      <c r="CJB17" s="33"/>
      <c r="CJL17" s="33"/>
      <c r="CJV17" s="33"/>
      <c r="CKF17" s="33"/>
      <c r="CKP17" s="33"/>
      <c r="CKZ17" s="33"/>
      <c r="CLJ17" s="33"/>
      <c r="CLT17" s="33"/>
      <c r="CMD17" s="33"/>
      <c r="CMN17" s="33"/>
      <c r="CMX17" s="33"/>
      <c r="CNH17" s="33"/>
      <c r="CNR17" s="33"/>
      <c r="COB17" s="33"/>
      <c r="COL17" s="33"/>
      <c r="COV17" s="33"/>
      <c r="CPF17" s="33"/>
      <c r="CPP17" s="33"/>
      <c r="CPZ17" s="33"/>
      <c r="CQJ17" s="33"/>
      <c r="CQT17" s="33"/>
      <c r="CRD17" s="33"/>
      <c r="CRN17" s="33"/>
      <c r="CRX17" s="33"/>
      <c r="CSH17" s="33"/>
      <c r="CSR17" s="33"/>
      <c r="CTB17" s="33"/>
      <c r="CTL17" s="33"/>
      <c r="CTV17" s="33"/>
    </row>
    <row r="18" s="16" customFormat="1" customHeight="1" spans="1:1020 1030:2040 2050:2570">
      <c r="A18" s="51"/>
      <c r="B18" s="7"/>
      <c r="C18" s="8"/>
      <c r="D18" s="55"/>
      <c r="E18" s="9"/>
      <c r="F18" s="53"/>
      <c r="G18" s="52"/>
      <c r="H18" s="53"/>
      <c r="I18" s="53"/>
      <c r="J18" s="52"/>
      <c r="K18" s="54"/>
      <c r="T18" s="33"/>
      <c r="AD18" s="33"/>
      <c r="AN18" s="33"/>
      <c r="AX18" s="33"/>
      <c r="BH18" s="33"/>
      <c r="BR18" s="33"/>
      <c r="CB18" s="33"/>
      <c r="CL18" s="33"/>
      <c r="CV18" s="33"/>
      <c r="DF18" s="33"/>
      <c r="DP18" s="33"/>
      <c r="DZ18" s="33"/>
      <c r="EJ18" s="33"/>
      <c r="ET18" s="33"/>
      <c r="FD18" s="33"/>
      <c r="FN18" s="33"/>
      <c r="FX18" s="33"/>
      <c r="GH18" s="33"/>
      <c r="GR18" s="33"/>
      <c r="HB18" s="33"/>
      <c r="HL18" s="33"/>
      <c r="HV18" s="33"/>
      <c r="IF18" s="33"/>
      <c r="IP18" s="33"/>
      <c r="IZ18" s="33"/>
      <c r="JJ18" s="33"/>
      <c r="JT18" s="33"/>
      <c r="KD18" s="33"/>
      <c r="KN18" s="33"/>
      <c r="KX18" s="33"/>
      <c r="LH18" s="33"/>
      <c r="LR18" s="33"/>
      <c r="MB18" s="33"/>
      <c r="ML18" s="33"/>
      <c r="MV18" s="33"/>
      <c r="NF18" s="33"/>
      <c r="NP18" s="33"/>
      <c r="NZ18" s="33"/>
      <c r="OJ18" s="33"/>
      <c r="OT18" s="33"/>
      <c r="PD18" s="33"/>
      <c r="PN18" s="33"/>
      <c r="PX18" s="33"/>
      <c r="QH18" s="33"/>
      <c r="QR18" s="33"/>
      <c r="RB18" s="33"/>
      <c r="RL18" s="33"/>
      <c r="RV18" s="33"/>
      <c r="SF18" s="33"/>
      <c r="SP18" s="33"/>
      <c r="SZ18" s="33"/>
      <c r="TJ18" s="33"/>
      <c r="TT18" s="33"/>
      <c r="UD18" s="33"/>
      <c r="UN18" s="33"/>
      <c r="UX18" s="33"/>
      <c r="VH18" s="33"/>
      <c r="VR18" s="33"/>
      <c r="WB18" s="33"/>
      <c r="WL18" s="33"/>
      <c r="WV18" s="33"/>
      <c r="XF18" s="33"/>
      <c r="XP18" s="33"/>
      <c r="XZ18" s="33"/>
      <c r="YJ18" s="33"/>
      <c r="YT18" s="33"/>
      <c r="ZD18" s="33"/>
      <c r="ZN18" s="33"/>
      <c r="ZX18" s="33"/>
      <c r="AAH18" s="33"/>
      <c r="AAR18" s="33"/>
      <c r="ABB18" s="33"/>
      <c r="ABL18" s="33"/>
      <c r="ABV18" s="33"/>
      <c r="ACF18" s="33"/>
      <c r="ACP18" s="33"/>
      <c r="ACZ18" s="33"/>
      <c r="ADJ18" s="33"/>
      <c r="ADT18" s="33"/>
      <c r="AED18" s="33"/>
      <c r="AEN18" s="33"/>
      <c r="AEX18" s="33"/>
      <c r="AFH18" s="33"/>
      <c r="AFR18" s="33"/>
      <c r="AGB18" s="33"/>
      <c r="AGL18" s="33"/>
      <c r="AGV18" s="33"/>
      <c r="AHF18" s="33"/>
      <c r="AHP18" s="33"/>
      <c r="AHZ18" s="33"/>
      <c r="AIJ18" s="33"/>
      <c r="AIT18" s="33"/>
      <c r="AJD18" s="33"/>
      <c r="AJN18" s="33"/>
      <c r="AJX18" s="33"/>
      <c r="AKH18" s="33"/>
      <c r="AKR18" s="33"/>
      <c r="ALB18" s="33"/>
      <c r="ALL18" s="33"/>
      <c r="ALV18" s="33"/>
      <c r="AMF18" s="33"/>
      <c r="AMP18" s="33"/>
      <c r="AMZ18" s="33"/>
      <c r="ANJ18" s="33"/>
      <c r="ANT18" s="33"/>
      <c r="AOD18" s="33"/>
      <c r="AON18" s="33"/>
      <c r="AOX18" s="33"/>
      <c r="APH18" s="33"/>
      <c r="APR18" s="33"/>
      <c r="AQB18" s="33"/>
      <c r="AQL18" s="33"/>
      <c r="AQV18" s="33"/>
      <c r="ARF18" s="33"/>
      <c r="ARP18" s="33"/>
      <c r="ARZ18" s="33"/>
      <c r="ASJ18" s="33"/>
      <c r="AST18" s="33"/>
      <c r="ATD18" s="33"/>
      <c r="ATN18" s="33"/>
      <c r="ATX18" s="33"/>
      <c r="AUH18" s="33"/>
      <c r="AUR18" s="33"/>
      <c r="AVB18" s="33"/>
      <c r="AVL18" s="33"/>
      <c r="AVV18" s="33"/>
      <c r="AWF18" s="33"/>
      <c r="AWP18" s="33"/>
      <c r="AWZ18" s="33"/>
      <c r="AXJ18" s="33"/>
      <c r="AXT18" s="33"/>
      <c r="AYD18" s="33"/>
      <c r="AYN18" s="33"/>
      <c r="AYX18" s="33"/>
      <c r="AZH18" s="33"/>
      <c r="AZR18" s="33"/>
      <c r="BAB18" s="33"/>
      <c r="BAL18" s="33"/>
      <c r="BAV18" s="33"/>
      <c r="BBF18" s="33"/>
      <c r="BBP18" s="33"/>
      <c r="BBZ18" s="33"/>
      <c r="BCJ18" s="33"/>
      <c r="BCT18" s="33"/>
      <c r="BDD18" s="33"/>
      <c r="BDN18" s="33"/>
      <c r="BDX18" s="33"/>
      <c r="BEH18" s="33"/>
      <c r="BER18" s="33"/>
      <c r="BFB18" s="33"/>
      <c r="BFL18" s="33"/>
      <c r="BFV18" s="33"/>
      <c r="BGF18" s="33"/>
      <c r="BGP18" s="33"/>
      <c r="BGZ18" s="33"/>
      <c r="BHJ18" s="33"/>
      <c r="BHT18" s="33"/>
      <c r="BID18" s="33"/>
      <c r="BIN18" s="33"/>
      <c r="BIX18" s="33"/>
      <c r="BJH18" s="33"/>
      <c r="BJR18" s="33"/>
      <c r="BKB18" s="33"/>
      <c r="BKL18" s="33"/>
      <c r="BKV18" s="33"/>
      <c r="BLF18" s="33"/>
      <c r="BLP18" s="33"/>
      <c r="BLZ18" s="33"/>
      <c r="BMJ18" s="33"/>
      <c r="BMT18" s="33"/>
      <c r="BND18" s="33"/>
      <c r="BNN18" s="33"/>
      <c r="BNX18" s="33"/>
      <c r="BOH18" s="33"/>
      <c r="BOR18" s="33"/>
      <c r="BPB18" s="33"/>
      <c r="BPL18" s="33"/>
      <c r="BPV18" s="33"/>
      <c r="BQF18" s="33"/>
      <c r="BQP18" s="33"/>
      <c r="BQZ18" s="33"/>
      <c r="BRJ18" s="33"/>
      <c r="BRT18" s="33"/>
      <c r="BSD18" s="33"/>
      <c r="BSN18" s="33"/>
      <c r="BSX18" s="33"/>
      <c r="BTH18" s="33"/>
      <c r="BTR18" s="33"/>
      <c r="BUB18" s="33"/>
      <c r="BUL18" s="33"/>
      <c r="BUV18" s="33"/>
      <c r="BVF18" s="33"/>
      <c r="BVP18" s="33"/>
      <c r="BVZ18" s="33"/>
      <c r="BWJ18" s="33"/>
      <c r="BWT18" s="33"/>
      <c r="BXD18" s="33"/>
      <c r="BXN18" s="33"/>
      <c r="BXX18" s="33"/>
      <c r="BYH18" s="33"/>
      <c r="BYR18" s="33"/>
      <c r="BZB18" s="33"/>
      <c r="BZL18" s="33"/>
      <c r="BZV18" s="33"/>
      <c r="CAF18" s="33"/>
      <c r="CAP18" s="33"/>
      <c r="CAZ18" s="33"/>
      <c r="CBJ18" s="33"/>
      <c r="CBT18" s="33"/>
      <c r="CCD18" s="33"/>
      <c r="CCN18" s="33"/>
      <c r="CCX18" s="33"/>
      <c r="CDH18" s="33"/>
      <c r="CDR18" s="33"/>
      <c r="CEB18" s="33"/>
      <c r="CEL18" s="33"/>
      <c r="CEV18" s="33"/>
      <c r="CFF18" s="33"/>
      <c r="CFP18" s="33"/>
      <c r="CFZ18" s="33"/>
      <c r="CGJ18" s="33"/>
      <c r="CGT18" s="33"/>
      <c r="CHD18" s="33"/>
      <c r="CHN18" s="33"/>
      <c r="CHX18" s="33"/>
      <c r="CIH18" s="33"/>
      <c r="CIR18" s="33"/>
      <c r="CJB18" s="33"/>
      <c r="CJL18" s="33"/>
      <c r="CJV18" s="33"/>
      <c r="CKF18" s="33"/>
      <c r="CKP18" s="33"/>
      <c r="CKZ18" s="33"/>
      <c r="CLJ18" s="33"/>
      <c r="CLT18" s="33"/>
      <c r="CMD18" s="33"/>
      <c r="CMN18" s="33"/>
      <c r="CMX18" s="33"/>
      <c r="CNH18" s="33"/>
      <c r="CNR18" s="33"/>
      <c r="COB18" s="33"/>
      <c r="COL18" s="33"/>
      <c r="COV18" s="33"/>
      <c r="CPF18" s="33"/>
      <c r="CPP18" s="33"/>
      <c r="CPZ18" s="33"/>
      <c r="CQJ18" s="33"/>
      <c r="CQT18" s="33"/>
      <c r="CRD18" s="33"/>
      <c r="CRN18" s="33"/>
      <c r="CRX18" s="33"/>
      <c r="CSH18" s="33"/>
      <c r="CSR18" s="33"/>
      <c r="CTB18" s="33"/>
      <c r="CTL18" s="33"/>
      <c r="CTV18" s="33"/>
    </row>
    <row r="19" s="16" customFormat="1" customHeight="1" spans="1:1020 1030:2040 2050:2570">
      <c r="A19" s="51"/>
      <c r="B19" s="7"/>
      <c r="C19" s="8"/>
      <c r="D19" s="55"/>
      <c r="E19" s="9"/>
      <c r="F19" s="53"/>
      <c r="G19" s="52"/>
      <c r="H19" s="53"/>
      <c r="I19" s="53"/>
      <c r="J19" s="52"/>
      <c r="K19" s="54"/>
      <c r="T19" s="33"/>
      <c r="AD19" s="33"/>
      <c r="AN19" s="33"/>
      <c r="AX19" s="33"/>
      <c r="BH19" s="33"/>
      <c r="BR19" s="33"/>
      <c r="CB19" s="33"/>
      <c r="CL19" s="33"/>
      <c r="CV19" s="33"/>
      <c r="DF19" s="33"/>
      <c r="DP19" s="33"/>
      <c r="DZ19" s="33"/>
      <c r="EJ19" s="33"/>
      <c r="ET19" s="33"/>
      <c r="FD19" s="33"/>
      <c r="FN19" s="33"/>
      <c r="FX19" s="33"/>
      <c r="GH19" s="33"/>
      <c r="GR19" s="33"/>
      <c r="HB19" s="33"/>
      <c r="HL19" s="33"/>
      <c r="HV19" s="33"/>
      <c r="IF19" s="33"/>
      <c r="IP19" s="33"/>
      <c r="IZ19" s="33"/>
      <c r="JJ19" s="33"/>
      <c r="JT19" s="33"/>
      <c r="KD19" s="33"/>
      <c r="KN19" s="33"/>
      <c r="KX19" s="33"/>
      <c r="LH19" s="33"/>
      <c r="LR19" s="33"/>
      <c r="MB19" s="33"/>
      <c r="ML19" s="33"/>
      <c r="MV19" s="33"/>
      <c r="NF19" s="33"/>
      <c r="NP19" s="33"/>
      <c r="NZ19" s="33"/>
      <c r="OJ19" s="33"/>
      <c r="OT19" s="33"/>
      <c r="PD19" s="33"/>
      <c r="PN19" s="33"/>
      <c r="PX19" s="33"/>
      <c r="QH19" s="33"/>
      <c r="QR19" s="33"/>
      <c r="RB19" s="33"/>
      <c r="RL19" s="33"/>
      <c r="RV19" s="33"/>
      <c r="SF19" s="33"/>
      <c r="SP19" s="33"/>
      <c r="SZ19" s="33"/>
      <c r="TJ19" s="33"/>
      <c r="TT19" s="33"/>
      <c r="UD19" s="33"/>
      <c r="UN19" s="33"/>
      <c r="UX19" s="33"/>
      <c r="VH19" s="33"/>
      <c r="VR19" s="33"/>
      <c r="WB19" s="33"/>
      <c r="WL19" s="33"/>
      <c r="WV19" s="33"/>
      <c r="XF19" s="33"/>
      <c r="XP19" s="33"/>
      <c r="XZ19" s="33"/>
      <c r="YJ19" s="33"/>
      <c r="YT19" s="33"/>
      <c r="ZD19" s="33"/>
      <c r="ZN19" s="33"/>
      <c r="ZX19" s="33"/>
      <c r="AAH19" s="33"/>
      <c r="AAR19" s="33"/>
      <c r="ABB19" s="33"/>
      <c r="ABL19" s="33"/>
      <c r="ABV19" s="33"/>
      <c r="ACF19" s="33"/>
      <c r="ACP19" s="33"/>
      <c r="ACZ19" s="33"/>
      <c r="ADJ19" s="33"/>
      <c r="ADT19" s="33"/>
      <c r="AED19" s="33"/>
      <c r="AEN19" s="33"/>
      <c r="AEX19" s="33"/>
      <c r="AFH19" s="33"/>
      <c r="AFR19" s="33"/>
      <c r="AGB19" s="33"/>
      <c r="AGL19" s="33"/>
      <c r="AGV19" s="33"/>
      <c r="AHF19" s="33"/>
      <c r="AHP19" s="33"/>
      <c r="AHZ19" s="33"/>
      <c r="AIJ19" s="33"/>
      <c r="AIT19" s="33"/>
      <c r="AJD19" s="33"/>
      <c r="AJN19" s="33"/>
      <c r="AJX19" s="33"/>
      <c r="AKH19" s="33"/>
      <c r="AKR19" s="33"/>
      <c r="ALB19" s="33"/>
      <c r="ALL19" s="33"/>
      <c r="ALV19" s="33"/>
      <c r="AMF19" s="33"/>
      <c r="AMP19" s="33"/>
      <c r="AMZ19" s="33"/>
      <c r="ANJ19" s="33"/>
      <c r="ANT19" s="33"/>
      <c r="AOD19" s="33"/>
      <c r="AON19" s="33"/>
      <c r="AOX19" s="33"/>
      <c r="APH19" s="33"/>
      <c r="APR19" s="33"/>
      <c r="AQB19" s="33"/>
      <c r="AQL19" s="33"/>
      <c r="AQV19" s="33"/>
      <c r="ARF19" s="33"/>
      <c r="ARP19" s="33"/>
      <c r="ARZ19" s="33"/>
      <c r="ASJ19" s="33"/>
      <c r="AST19" s="33"/>
      <c r="ATD19" s="33"/>
      <c r="ATN19" s="33"/>
      <c r="ATX19" s="33"/>
      <c r="AUH19" s="33"/>
      <c r="AUR19" s="33"/>
      <c r="AVB19" s="33"/>
      <c r="AVL19" s="33"/>
      <c r="AVV19" s="33"/>
      <c r="AWF19" s="33"/>
      <c r="AWP19" s="33"/>
      <c r="AWZ19" s="33"/>
      <c r="AXJ19" s="33"/>
      <c r="AXT19" s="33"/>
      <c r="AYD19" s="33"/>
      <c r="AYN19" s="33"/>
      <c r="AYX19" s="33"/>
      <c r="AZH19" s="33"/>
      <c r="AZR19" s="33"/>
      <c r="BAB19" s="33"/>
      <c r="BAL19" s="33"/>
      <c r="BAV19" s="33"/>
      <c r="BBF19" s="33"/>
      <c r="BBP19" s="33"/>
      <c r="BBZ19" s="33"/>
      <c r="BCJ19" s="33"/>
      <c r="BCT19" s="33"/>
      <c r="BDD19" s="33"/>
      <c r="BDN19" s="33"/>
      <c r="BDX19" s="33"/>
      <c r="BEH19" s="33"/>
      <c r="BER19" s="33"/>
      <c r="BFB19" s="33"/>
      <c r="BFL19" s="33"/>
      <c r="BFV19" s="33"/>
      <c r="BGF19" s="33"/>
      <c r="BGP19" s="33"/>
      <c r="BGZ19" s="33"/>
      <c r="BHJ19" s="33"/>
      <c r="BHT19" s="33"/>
      <c r="BID19" s="33"/>
      <c r="BIN19" s="33"/>
      <c r="BIX19" s="33"/>
      <c r="BJH19" s="33"/>
      <c r="BJR19" s="33"/>
      <c r="BKB19" s="33"/>
      <c r="BKL19" s="33"/>
      <c r="BKV19" s="33"/>
      <c r="BLF19" s="33"/>
      <c r="BLP19" s="33"/>
      <c r="BLZ19" s="33"/>
      <c r="BMJ19" s="33"/>
      <c r="BMT19" s="33"/>
      <c r="BND19" s="33"/>
      <c r="BNN19" s="33"/>
      <c r="BNX19" s="33"/>
      <c r="BOH19" s="33"/>
      <c r="BOR19" s="33"/>
      <c r="BPB19" s="33"/>
      <c r="BPL19" s="33"/>
      <c r="BPV19" s="33"/>
      <c r="BQF19" s="33"/>
      <c r="BQP19" s="33"/>
      <c r="BQZ19" s="33"/>
      <c r="BRJ19" s="33"/>
      <c r="BRT19" s="33"/>
      <c r="BSD19" s="33"/>
      <c r="BSN19" s="33"/>
      <c r="BSX19" s="33"/>
      <c r="BTH19" s="33"/>
      <c r="BTR19" s="33"/>
      <c r="BUB19" s="33"/>
      <c r="BUL19" s="33"/>
      <c r="BUV19" s="33"/>
      <c r="BVF19" s="33"/>
      <c r="BVP19" s="33"/>
      <c r="BVZ19" s="33"/>
      <c r="BWJ19" s="33"/>
      <c r="BWT19" s="33"/>
      <c r="BXD19" s="33"/>
      <c r="BXN19" s="33"/>
      <c r="BXX19" s="33"/>
      <c r="BYH19" s="33"/>
      <c r="BYR19" s="33"/>
      <c r="BZB19" s="33"/>
      <c r="BZL19" s="33"/>
      <c r="BZV19" s="33"/>
      <c r="CAF19" s="33"/>
      <c r="CAP19" s="33"/>
      <c r="CAZ19" s="33"/>
      <c r="CBJ19" s="33"/>
      <c r="CBT19" s="33"/>
      <c r="CCD19" s="33"/>
      <c r="CCN19" s="33"/>
      <c r="CCX19" s="33"/>
      <c r="CDH19" s="33"/>
      <c r="CDR19" s="33"/>
      <c r="CEB19" s="33"/>
      <c r="CEL19" s="33"/>
      <c r="CEV19" s="33"/>
      <c r="CFF19" s="33"/>
      <c r="CFP19" s="33"/>
      <c r="CFZ19" s="33"/>
      <c r="CGJ19" s="33"/>
      <c r="CGT19" s="33"/>
      <c r="CHD19" s="33"/>
      <c r="CHN19" s="33"/>
      <c r="CHX19" s="33"/>
      <c r="CIH19" s="33"/>
      <c r="CIR19" s="33"/>
      <c r="CJB19" s="33"/>
      <c r="CJL19" s="33"/>
      <c r="CJV19" s="33"/>
      <c r="CKF19" s="33"/>
      <c r="CKP19" s="33"/>
      <c r="CKZ19" s="33"/>
      <c r="CLJ19" s="33"/>
      <c r="CLT19" s="33"/>
      <c r="CMD19" s="33"/>
      <c r="CMN19" s="33"/>
      <c r="CMX19" s="33"/>
      <c r="CNH19" s="33"/>
      <c r="CNR19" s="33"/>
      <c r="COB19" s="33"/>
      <c r="COL19" s="33"/>
      <c r="COV19" s="33"/>
      <c r="CPF19" s="33"/>
      <c r="CPP19" s="33"/>
      <c r="CPZ19" s="33"/>
      <c r="CQJ19" s="33"/>
      <c r="CQT19" s="33"/>
      <c r="CRD19" s="33"/>
      <c r="CRN19" s="33"/>
      <c r="CRX19" s="33"/>
      <c r="CSH19" s="33"/>
      <c r="CSR19" s="33"/>
      <c r="CTB19" s="33"/>
      <c r="CTL19" s="33"/>
      <c r="CTV19" s="33"/>
    </row>
    <row r="20" s="16" customFormat="1" customHeight="1" spans="1:1020 1030:2040 2050:2570">
      <c r="A20" s="51"/>
      <c r="B20" s="7"/>
      <c r="C20" s="8"/>
      <c r="D20" s="55"/>
      <c r="E20" s="9"/>
      <c r="F20" s="53"/>
      <c r="G20" s="52"/>
      <c r="H20" s="53"/>
      <c r="I20" s="53"/>
      <c r="J20" s="52"/>
      <c r="K20" s="54"/>
      <c r="T20" s="33"/>
      <c r="AD20" s="33"/>
      <c r="AN20" s="33"/>
      <c r="AX20" s="33"/>
      <c r="BH20" s="33"/>
      <c r="BR20" s="33"/>
      <c r="CB20" s="33"/>
      <c r="CL20" s="33"/>
      <c r="CV20" s="33"/>
      <c r="DF20" s="33"/>
      <c r="DP20" s="33"/>
      <c r="DZ20" s="33"/>
      <c r="EJ20" s="33"/>
      <c r="ET20" s="33"/>
      <c r="FD20" s="33"/>
      <c r="FN20" s="33"/>
      <c r="FX20" s="33"/>
      <c r="GH20" s="33"/>
      <c r="GR20" s="33"/>
      <c r="HB20" s="33"/>
      <c r="HL20" s="33"/>
      <c r="HV20" s="33"/>
      <c r="IF20" s="33"/>
      <c r="IP20" s="33"/>
      <c r="IZ20" s="33"/>
      <c r="JJ20" s="33"/>
      <c r="JT20" s="33"/>
      <c r="KD20" s="33"/>
      <c r="KN20" s="33"/>
      <c r="KX20" s="33"/>
      <c r="LH20" s="33"/>
      <c r="LR20" s="33"/>
      <c r="MB20" s="33"/>
      <c r="ML20" s="33"/>
      <c r="MV20" s="33"/>
      <c r="NF20" s="33"/>
      <c r="NP20" s="33"/>
      <c r="NZ20" s="33"/>
      <c r="OJ20" s="33"/>
      <c r="OT20" s="33"/>
      <c r="PD20" s="33"/>
      <c r="PN20" s="33"/>
      <c r="PX20" s="33"/>
      <c r="QH20" s="33"/>
      <c r="QR20" s="33"/>
      <c r="RB20" s="33"/>
      <c r="RL20" s="33"/>
      <c r="RV20" s="33"/>
      <c r="SF20" s="33"/>
      <c r="SP20" s="33"/>
      <c r="SZ20" s="33"/>
      <c r="TJ20" s="33"/>
      <c r="TT20" s="33"/>
      <c r="UD20" s="33"/>
      <c r="UN20" s="33"/>
      <c r="UX20" s="33"/>
      <c r="VH20" s="33"/>
      <c r="VR20" s="33"/>
      <c r="WB20" s="33"/>
      <c r="WL20" s="33"/>
      <c r="WV20" s="33"/>
      <c r="XF20" s="33"/>
      <c r="XP20" s="33"/>
      <c r="XZ20" s="33"/>
      <c r="YJ20" s="33"/>
      <c r="YT20" s="33"/>
      <c r="ZD20" s="33"/>
      <c r="ZN20" s="33"/>
      <c r="ZX20" s="33"/>
      <c r="AAH20" s="33"/>
      <c r="AAR20" s="33"/>
      <c r="ABB20" s="33"/>
      <c r="ABL20" s="33"/>
      <c r="ABV20" s="33"/>
      <c r="ACF20" s="33"/>
      <c r="ACP20" s="33"/>
      <c r="ACZ20" s="33"/>
      <c r="ADJ20" s="33"/>
      <c r="ADT20" s="33"/>
      <c r="AED20" s="33"/>
      <c r="AEN20" s="33"/>
      <c r="AEX20" s="33"/>
      <c r="AFH20" s="33"/>
      <c r="AFR20" s="33"/>
      <c r="AGB20" s="33"/>
      <c r="AGL20" s="33"/>
      <c r="AGV20" s="33"/>
      <c r="AHF20" s="33"/>
      <c r="AHP20" s="33"/>
      <c r="AHZ20" s="33"/>
      <c r="AIJ20" s="33"/>
      <c r="AIT20" s="33"/>
      <c r="AJD20" s="33"/>
      <c r="AJN20" s="33"/>
      <c r="AJX20" s="33"/>
      <c r="AKH20" s="33"/>
      <c r="AKR20" s="33"/>
      <c r="ALB20" s="33"/>
      <c r="ALL20" s="33"/>
      <c r="ALV20" s="33"/>
      <c r="AMF20" s="33"/>
      <c r="AMP20" s="33"/>
      <c r="AMZ20" s="33"/>
      <c r="ANJ20" s="33"/>
      <c r="ANT20" s="33"/>
      <c r="AOD20" s="33"/>
      <c r="AON20" s="33"/>
      <c r="AOX20" s="33"/>
      <c r="APH20" s="33"/>
      <c r="APR20" s="33"/>
      <c r="AQB20" s="33"/>
      <c r="AQL20" s="33"/>
      <c r="AQV20" s="33"/>
      <c r="ARF20" s="33"/>
      <c r="ARP20" s="33"/>
      <c r="ARZ20" s="33"/>
      <c r="ASJ20" s="33"/>
      <c r="AST20" s="33"/>
      <c r="ATD20" s="33"/>
      <c r="ATN20" s="33"/>
      <c r="ATX20" s="33"/>
      <c r="AUH20" s="33"/>
      <c r="AUR20" s="33"/>
      <c r="AVB20" s="33"/>
      <c r="AVL20" s="33"/>
      <c r="AVV20" s="33"/>
      <c r="AWF20" s="33"/>
      <c r="AWP20" s="33"/>
      <c r="AWZ20" s="33"/>
      <c r="AXJ20" s="33"/>
      <c r="AXT20" s="33"/>
      <c r="AYD20" s="33"/>
      <c r="AYN20" s="33"/>
      <c r="AYX20" s="33"/>
      <c r="AZH20" s="33"/>
      <c r="AZR20" s="33"/>
      <c r="BAB20" s="33"/>
      <c r="BAL20" s="33"/>
      <c r="BAV20" s="33"/>
      <c r="BBF20" s="33"/>
      <c r="BBP20" s="33"/>
      <c r="BBZ20" s="33"/>
      <c r="BCJ20" s="33"/>
      <c r="BCT20" s="33"/>
      <c r="BDD20" s="33"/>
      <c r="BDN20" s="33"/>
      <c r="BDX20" s="33"/>
      <c r="BEH20" s="33"/>
      <c r="BER20" s="33"/>
      <c r="BFB20" s="33"/>
      <c r="BFL20" s="33"/>
      <c r="BFV20" s="33"/>
      <c r="BGF20" s="33"/>
      <c r="BGP20" s="33"/>
      <c r="BGZ20" s="33"/>
      <c r="BHJ20" s="33"/>
      <c r="BHT20" s="33"/>
      <c r="BID20" s="33"/>
      <c r="BIN20" s="33"/>
      <c r="BIX20" s="33"/>
      <c r="BJH20" s="33"/>
      <c r="BJR20" s="33"/>
      <c r="BKB20" s="33"/>
      <c r="BKL20" s="33"/>
      <c r="BKV20" s="33"/>
      <c r="BLF20" s="33"/>
      <c r="BLP20" s="33"/>
      <c r="BLZ20" s="33"/>
      <c r="BMJ20" s="33"/>
      <c r="BMT20" s="33"/>
      <c r="BND20" s="33"/>
      <c r="BNN20" s="33"/>
      <c r="BNX20" s="33"/>
      <c r="BOH20" s="33"/>
      <c r="BOR20" s="33"/>
      <c r="BPB20" s="33"/>
      <c r="BPL20" s="33"/>
      <c r="BPV20" s="33"/>
      <c r="BQF20" s="33"/>
      <c r="BQP20" s="33"/>
      <c r="BQZ20" s="33"/>
      <c r="BRJ20" s="33"/>
      <c r="BRT20" s="33"/>
      <c r="BSD20" s="33"/>
      <c r="BSN20" s="33"/>
      <c r="BSX20" s="33"/>
      <c r="BTH20" s="33"/>
      <c r="BTR20" s="33"/>
      <c r="BUB20" s="33"/>
      <c r="BUL20" s="33"/>
      <c r="BUV20" s="33"/>
      <c r="BVF20" s="33"/>
      <c r="BVP20" s="33"/>
      <c r="BVZ20" s="33"/>
      <c r="BWJ20" s="33"/>
      <c r="BWT20" s="33"/>
      <c r="BXD20" s="33"/>
      <c r="BXN20" s="33"/>
      <c r="BXX20" s="33"/>
      <c r="BYH20" s="33"/>
      <c r="BYR20" s="33"/>
      <c r="BZB20" s="33"/>
      <c r="BZL20" s="33"/>
      <c r="BZV20" s="33"/>
      <c r="CAF20" s="33"/>
      <c r="CAP20" s="33"/>
      <c r="CAZ20" s="33"/>
      <c r="CBJ20" s="33"/>
      <c r="CBT20" s="33"/>
      <c r="CCD20" s="33"/>
      <c r="CCN20" s="33"/>
      <c r="CCX20" s="33"/>
      <c r="CDH20" s="33"/>
      <c r="CDR20" s="33"/>
      <c r="CEB20" s="33"/>
      <c r="CEL20" s="33"/>
      <c r="CEV20" s="33"/>
      <c r="CFF20" s="33"/>
      <c r="CFP20" s="33"/>
      <c r="CFZ20" s="33"/>
      <c r="CGJ20" s="33"/>
      <c r="CGT20" s="33"/>
      <c r="CHD20" s="33"/>
      <c r="CHN20" s="33"/>
      <c r="CHX20" s="33"/>
      <c r="CIH20" s="33"/>
      <c r="CIR20" s="33"/>
      <c r="CJB20" s="33"/>
      <c r="CJL20" s="33"/>
      <c r="CJV20" s="33"/>
      <c r="CKF20" s="33"/>
      <c r="CKP20" s="33"/>
      <c r="CKZ20" s="33"/>
      <c r="CLJ20" s="33"/>
      <c r="CLT20" s="33"/>
      <c r="CMD20" s="33"/>
      <c r="CMN20" s="33"/>
      <c r="CMX20" s="33"/>
      <c r="CNH20" s="33"/>
      <c r="CNR20" s="33"/>
      <c r="COB20" s="33"/>
      <c r="COL20" s="33"/>
      <c r="COV20" s="33"/>
      <c r="CPF20" s="33"/>
      <c r="CPP20" s="33"/>
      <c r="CPZ20" s="33"/>
      <c r="CQJ20" s="33"/>
      <c r="CQT20" s="33"/>
      <c r="CRD20" s="33"/>
      <c r="CRN20" s="33"/>
      <c r="CRX20" s="33"/>
      <c r="CSH20" s="33"/>
      <c r="CSR20" s="33"/>
      <c r="CTB20" s="33"/>
      <c r="CTL20" s="33"/>
      <c r="CTV20" s="33"/>
    </row>
    <row r="21" s="16" customFormat="1" customHeight="1" spans="1:1020 1030:2040 2050:2570">
      <c r="A21" s="51"/>
      <c r="B21" s="7"/>
      <c r="C21" s="8"/>
      <c r="D21" s="55"/>
      <c r="E21" s="9"/>
      <c r="F21" s="53"/>
      <c r="G21" s="52"/>
      <c r="H21" s="53"/>
      <c r="I21" s="53"/>
      <c r="J21" s="52"/>
      <c r="K21" s="54"/>
      <c r="T21" s="33"/>
      <c r="AD21" s="33"/>
      <c r="AN21" s="33"/>
      <c r="AX21" s="33"/>
      <c r="BH21" s="33"/>
      <c r="BR21" s="33"/>
      <c r="CB21" s="33"/>
      <c r="CL21" s="33"/>
      <c r="CV21" s="33"/>
      <c r="DF21" s="33"/>
      <c r="DP21" s="33"/>
      <c r="DZ21" s="33"/>
      <c r="EJ21" s="33"/>
      <c r="ET21" s="33"/>
      <c r="FD21" s="33"/>
      <c r="FN21" s="33"/>
      <c r="FX21" s="33"/>
      <c r="GH21" s="33"/>
      <c r="GR21" s="33"/>
      <c r="HB21" s="33"/>
      <c r="HL21" s="33"/>
      <c r="HV21" s="33"/>
      <c r="IF21" s="33"/>
      <c r="IP21" s="33"/>
      <c r="IZ21" s="33"/>
      <c r="JJ21" s="33"/>
      <c r="JT21" s="33"/>
      <c r="KD21" s="33"/>
      <c r="KN21" s="33"/>
      <c r="KX21" s="33"/>
      <c r="LH21" s="33"/>
      <c r="LR21" s="33"/>
      <c r="MB21" s="33"/>
      <c r="ML21" s="33"/>
      <c r="MV21" s="33"/>
      <c r="NF21" s="33"/>
      <c r="NP21" s="33"/>
      <c r="NZ21" s="33"/>
      <c r="OJ21" s="33"/>
      <c r="OT21" s="33"/>
      <c r="PD21" s="33"/>
      <c r="PN21" s="33"/>
      <c r="PX21" s="33"/>
      <c r="QH21" s="33"/>
      <c r="QR21" s="33"/>
      <c r="RB21" s="33"/>
      <c r="RL21" s="33"/>
      <c r="RV21" s="33"/>
      <c r="SF21" s="33"/>
      <c r="SP21" s="33"/>
      <c r="SZ21" s="33"/>
      <c r="TJ21" s="33"/>
      <c r="TT21" s="33"/>
      <c r="UD21" s="33"/>
      <c r="UN21" s="33"/>
      <c r="UX21" s="33"/>
      <c r="VH21" s="33"/>
      <c r="VR21" s="33"/>
      <c r="WB21" s="33"/>
      <c r="WL21" s="33"/>
      <c r="WV21" s="33"/>
      <c r="XF21" s="33"/>
      <c r="XP21" s="33"/>
      <c r="XZ21" s="33"/>
      <c r="YJ21" s="33"/>
      <c r="YT21" s="33"/>
      <c r="ZD21" s="33"/>
      <c r="ZN21" s="33"/>
      <c r="ZX21" s="33"/>
      <c r="AAH21" s="33"/>
      <c r="AAR21" s="33"/>
      <c r="ABB21" s="33"/>
      <c r="ABL21" s="33"/>
      <c r="ABV21" s="33"/>
      <c r="ACF21" s="33"/>
      <c r="ACP21" s="33"/>
      <c r="ACZ21" s="33"/>
      <c r="ADJ21" s="33"/>
      <c r="ADT21" s="33"/>
      <c r="AED21" s="33"/>
      <c r="AEN21" s="33"/>
      <c r="AEX21" s="33"/>
      <c r="AFH21" s="33"/>
      <c r="AFR21" s="33"/>
      <c r="AGB21" s="33"/>
      <c r="AGL21" s="33"/>
      <c r="AGV21" s="33"/>
      <c r="AHF21" s="33"/>
      <c r="AHP21" s="33"/>
      <c r="AHZ21" s="33"/>
      <c r="AIJ21" s="33"/>
      <c r="AIT21" s="33"/>
      <c r="AJD21" s="33"/>
      <c r="AJN21" s="33"/>
      <c r="AJX21" s="33"/>
      <c r="AKH21" s="33"/>
      <c r="AKR21" s="33"/>
      <c r="ALB21" s="33"/>
      <c r="ALL21" s="33"/>
      <c r="ALV21" s="33"/>
      <c r="AMF21" s="33"/>
      <c r="AMP21" s="33"/>
      <c r="AMZ21" s="33"/>
      <c r="ANJ21" s="33"/>
      <c r="ANT21" s="33"/>
      <c r="AOD21" s="33"/>
      <c r="AON21" s="33"/>
      <c r="AOX21" s="33"/>
      <c r="APH21" s="33"/>
      <c r="APR21" s="33"/>
      <c r="AQB21" s="33"/>
      <c r="AQL21" s="33"/>
      <c r="AQV21" s="33"/>
      <c r="ARF21" s="33"/>
      <c r="ARP21" s="33"/>
      <c r="ARZ21" s="33"/>
      <c r="ASJ21" s="33"/>
      <c r="AST21" s="33"/>
      <c r="ATD21" s="33"/>
      <c r="ATN21" s="33"/>
      <c r="ATX21" s="33"/>
      <c r="AUH21" s="33"/>
      <c r="AUR21" s="33"/>
      <c r="AVB21" s="33"/>
      <c r="AVL21" s="33"/>
      <c r="AVV21" s="33"/>
      <c r="AWF21" s="33"/>
      <c r="AWP21" s="33"/>
      <c r="AWZ21" s="33"/>
      <c r="AXJ21" s="33"/>
      <c r="AXT21" s="33"/>
      <c r="AYD21" s="33"/>
      <c r="AYN21" s="33"/>
      <c r="AYX21" s="33"/>
      <c r="AZH21" s="33"/>
      <c r="AZR21" s="33"/>
      <c r="BAB21" s="33"/>
      <c r="BAL21" s="33"/>
      <c r="BAV21" s="33"/>
      <c r="BBF21" s="33"/>
      <c r="BBP21" s="33"/>
      <c r="BBZ21" s="33"/>
      <c r="BCJ21" s="33"/>
      <c r="BCT21" s="33"/>
      <c r="BDD21" s="33"/>
      <c r="BDN21" s="33"/>
      <c r="BDX21" s="33"/>
      <c r="BEH21" s="33"/>
      <c r="BER21" s="33"/>
      <c r="BFB21" s="33"/>
      <c r="BFL21" s="33"/>
      <c r="BFV21" s="33"/>
      <c r="BGF21" s="33"/>
      <c r="BGP21" s="33"/>
      <c r="BGZ21" s="33"/>
      <c r="BHJ21" s="33"/>
      <c r="BHT21" s="33"/>
      <c r="BID21" s="33"/>
      <c r="BIN21" s="33"/>
      <c r="BIX21" s="33"/>
      <c r="BJH21" s="33"/>
      <c r="BJR21" s="33"/>
      <c r="BKB21" s="33"/>
      <c r="BKL21" s="33"/>
      <c r="BKV21" s="33"/>
      <c r="BLF21" s="33"/>
      <c r="BLP21" s="33"/>
      <c r="BLZ21" s="33"/>
      <c r="BMJ21" s="33"/>
      <c r="BMT21" s="33"/>
      <c r="BND21" s="33"/>
      <c r="BNN21" s="33"/>
      <c r="BNX21" s="33"/>
      <c r="BOH21" s="33"/>
      <c r="BOR21" s="33"/>
      <c r="BPB21" s="33"/>
      <c r="BPL21" s="33"/>
      <c r="BPV21" s="33"/>
      <c r="BQF21" s="33"/>
      <c r="BQP21" s="33"/>
      <c r="BQZ21" s="33"/>
      <c r="BRJ21" s="33"/>
      <c r="BRT21" s="33"/>
      <c r="BSD21" s="33"/>
      <c r="BSN21" s="33"/>
      <c r="BSX21" s="33"/>
      <c r="BTH21" s="33"/>
      <c r="BTR21" s="33"/>
      <c r="BUB21" s="33"/>
      <c r="BUL21" s="33"/>
      <c r="BUV21" s="33"/>
      <c r="BVF21" s="33"/>
      <c r="BVP21" s="33"/>
      <c r="BVZ21" s="33"/>
      <c r="BWJ21" s="33"/>
      <c r="BWT21" s="33"/>
      <c r="BXD21" s="33"/>
      <c r="BXN21" s="33"/>
      <c r="BXX21" s="33"/>
      <c r="BYH21" s="33"/>
      <c r="BYR21" s="33"/>
      <c r="BZB21" s="33"/>
      <c r="BZL21" s="33"/>
      <c r="BZV21" s="33"/>
      <c r="CAF21" s="33"/>
      <c r="CAP21" s="33"/>
      <c r="CAZ21" s="33"/>
      <c r="CBJ21" s="33"/>
      <c r="CBT21" s="33"/>
      <c r="CCD21" s="33"/>
      <c r="CCN21" s="33"/>
      <c r="CCX21" s="33"/>
      <c r="CDH21" s="33"/>
      <c r="CDR21" s="33"/>
      <c r="CEB21" s="33"/>
      <c r="CEL21" s="33"/>
      <c r="CEV21" s="33"/>
      <c r="CFF21" s="33"/>
      <c r="CFP21" s="33"/>
      <c r="CFZ21" s="33"/>
      <c r="CGJ21" s="33"/>
      <c r="CGT21" s="33"/>
      <c r="CHD21" s="33"/>
      <c r="CHN21" s="33"/>
      <c r="CHX21" s="33"/>
      <c r="CIH21" s="33"/>
      <c r="CIR21" s="33"/>
      <c r="CJB21" s="33"/>
      <c r="CJL21" s="33"/>
      <c r="CJV21" s="33"/>
      <c r="CKF21" s="33"/>
      <c r="CKP21" s="33"/>
      <c r="CKZ21" s="33"/>
      <c r="CLJ21" s="33"/>
      <c r="CLT21" s="33"/>
      <c r="CMD21" s="33"/>
      <c r="CMN21" s="33"/>
      <c r="CMX21" s="33"/>
      <c r="CNH21" s="33"/>
      <c r="CNR21" s="33"/>
      <c r="COB21" s="33"/>
      <c r="COL21" s="33"/>
      <c r="COV21" s="33"/>
      <c r="CPF21" s="33"/>
      <c r="CPP21" s="33"/>
      <c r="CPZ21" s="33"/>
      <c r="CQJ21" s="33"/>
      <c r="CQT21" s="33"/>
      <c r="CRD21" s="33"/>
      <c r="CRN21" s="33"/>
      <c r="CRX21" s="33"/>
      <c r="CSH21" s="33"/>
      <c r="CSR21" s="33"/>
      <c r="CTB21" s="33"/>
      <c r="CTL21" s="33"/>
      <c r="CTV21" s="33"/>
    </row>
    <row r="22" s="16" customFormat="1" customHeight="1" spans="1:1020 1030:2040 2050:2570">
      <c r="A22" s="51"/>
      <c r="B22" s="7"/>
      <c r="C22" s="8"/>
      <c r="D22" s="55"/>
      <c r="E22" s="9"/>
      <c r="F22" s="53"/>
      <c r="G22" s="52"/>
      <c r="H22" s="53"/>
      <c r="I22" s="53"/>
      <c r="J22" s="52"/>
      <c r="K22" s="54"/>
      <c r="T22" s="33"/>
      <c r="AD22" s="33"/>
      <c r="AN22" s="33"/>
      <c r="AX22" s="33"/>
      <c r="BH22" s="33"/>
      <c r="BR22" s="33"/>
      <c r="CB22" s="33"/>
      <c r="CL22" s="33"/>
      <c r="CV22" s="33"/>
      <c r="DF22" s="33"/>
      <c r="DP22" s="33"/>
      <c r="DZ22" s="33"/>
      <c r="EJ22" s="33"/>
      <c r="ET22" s="33"/>
      <c r="FD22" s="33"/>
      <c r="FN22" s="33"/>
      <c r="FX22" s="33"/>
      <c r="GH22" s="33"/>
      <c r="GR22" s="33"/>
      <c r="HB22" s="33"/>
      <c r="HL22" s="33"/>
      <c r="HV22" s="33"/>
      <c r="IF22" s="33"/>
      <c r="IP22" s="33"/>
      <c r="IZ22" s="33"/>
      <c r="JJ22" s="33"/>
      <c r="JT22" s="33"/>
      <c r="KD22" s="33"/>
      <c r="KN22" s="33"/>
      <c r="KX22" s="33"/>
      <c r="LH22" s="33"/>
      <c r="LR22" s="33"/>
      <c r="MB22" s="33"/>
      <c r="ML22" s="33"/>
      <c r="MV22" s="33"/>
      <c r="NF22" s="33"/>
      <c r="NP22" s="33"/>
      <c r="NZ22" s="33"/>
      <c r="OJ22" s="33"/>
      <c r="OT22" s="33"/>
      <c r="PD22" s="33"/>
      <c r="PN22" s="33"/>
      <c r="PX22" s="33"/>
      <c r="QH22" s="33"/>
      <c r="QR22" s="33"/>
      <c r="RB22" s="33"/>
      <c r="RL22" s="33"/>
      <c r="RV22" s="33"/>
      <c r="SF22" s="33"/>
      <c r="SP22" s="33"/>
      <c r="SZ22" s="33"/>
      <c r="TJ22" s="33"/>
      <c r="TT22" s="33"/>
      <c r="UD22" s="33"/>
      <c r="UN22" s="33"/>
      <c r="UX22" s="33"/>
      <c r="VH22" s="33"/>
      <c r="VR22" s="33"/>
      <c r="WB22" s="33"/>
      <c r="WL22" s="33"/>
      <c r="WV22" s="33"/>
      <c r="XF22" s="33"/>
      <c r="XP22" s="33"/>
      <c r="XZ22" s="33"/>
      <c r="YJ22" s="33"/>
      <c r="YT22" s="33"/>
      <c r="ZD22" s="33"/>
      <c r="ZN22" s="33"/>
      <c r="ZX22" s="33"/>
      <c r="AAH22" s="33"/>
      <c r="AAR22" s="33"/>
      <c r="ABB22" s="33"/>
      <c r="ABL22" s="33"/>
      <c r="ABV22" s="33"/>
      <c r="ACF22" s="33"/>
      <c r="ACP22" s="33"/>
      <c r="ACZ22" s="33"/>
      <c r="ADJ22" s="33"/>
      <c r="ADT22" s="33"/>
      <c r="AED22" s="33"/>
      <c r="AEN22" s="33"/>
      <c r="AEX22" s="33"/>
      <c r="AFH22" s="33"/>
      <c r="AFR22" s="33"/>
      <c r="AGB22" s="33"/>
      <c r="AGL22" s="33"/>
      <c r="AGV22" s="33"/>
      <c r="AHF22" s="33"/>
      <c r="AHP22" s="33"/>
      <c r="AHZ22" s="33"/>
      <c r="AIJ22" s="33"/>
      <c r="AIT22" s="33"/>
      <c r="AJD22" s="33"/>
      <c r="AJN22" s="33"/>
      <c r="AJX22" s="33"/>
      <c r="AKH22" s="33"/>
      <c r="AKR22" s="33"/>
      <c r="ALB22" s="33"/>
      <c r="ALL22" s="33"/>
      <c r="ALV22" s="33"/>
      <c r="AMF22" s="33"/>
      <c r="AMP22" s="33"/>
      <c r="AMZ22" s="33"/>
      <c r="ANJ22" s="33"/>
      <c r="ANT22" s="33"/>
      <c r="AOD22" s="33"/>
      <c r="AON22" s="33"/>
      <c r="AOX22" s="33"/>
      <c r="APH22" s="33"/>
      <c r="APR22" s="33"/>
      <c r="AQB22" s="33"/>
      <c r="AQL22" s="33"/>
      <c r="AQV22" s="33"/>
      <c r="ARF22" s="33"/>
      <c r="ARP22" s="33"/>
      <c r="ARZ22" s="33"/>
      <c r="ASJ22" s="33"/>
      <c r="AST22" s="33"/>
      <c r="ATD22" s="33"/>
      <c r="ATN22" s="33"/>
      <c r="ATX22" s="33"/>
      <c r="AUH22" s="33"/>
      <c r="AUR22" s="33"/>
      <c r="AVB22" s="33"/>
      <c r="AVL22" s="33"/>
      <c r="AVV22" s="33"/>
      <c r="AWF22" s="33"/>
      <c r="AWP22" s="33"/>
      <c r="AWZ22" s="33"/>
      <c r="AXJ22" s="33"/>
      <c r="AXT22" s="33"/>
      <c r="AYD22" s="33"/>
      <c r="AYN22" s="33"/>
      <c r="AYX22" s="33"/>
      <c r="AZH22" s="33"/>
      <c r="AZR22" s="33"/>
      <c r="BAB22" s="33"/>
      <c r="BAL22" s="33"/>
      <c r="BAV22" s="33"/>
      <c r="BBF22" s="33"/>
      <c r="BBP22" s="33"/>
      <c r="BBZ22" s="33"/>
      <c r="BCJ22" s="33"/>
      <c r="BCT22" s="33"/>
      <c r="BDD22" s="33"/>
      <c r="BDN22" s="33"/>
      <c r="BDX22" s="33"/>
      <c r="BEH22" s="33"/>
      <c r="BER22" s="33"/>
      <c r="BFB22" s="33"/>
      <c r="BFL22" s="33"/>
      <c r="BFV22" s="33"/>
      <c r="BGF22" s="33"/>
      <c r="BGP22" s="33"/>
      <c r="BGZ22" s="33"/>
      <c r="BHJ22" s="33"/>
      <c r="BHT22" s="33"/>
      <c r="BID22" s="33"/>
      <c r="BIN22" s="33"/>
      <c r="BIX22" s="33"/>
      <c r="BJH22" s="33"/>
      <c r="BJR22" s="33"/>
      <c r="BKB22" s="33"/>
      <c r="BKL22" s="33"/>
      <c r="BKV22" s="33"/>
      <c r="BLF22" s="33"/>
      <c r="BLP22" s="33"/>
      <c r="BLZ22" s="33"/>
      <c r="BMJ22" s="33"/>
      <c r="BMT22" s="33"/>
      <c r="BND22" s="33"/>
      <c r="BNN22" s="33"/>
      <c r="BNX22" s="33"/>
      <c r="BOH22" s="33"/>
      <c r="BOR22" s="33"/>
      <c r="BPB22" s="33"/>
      <c r="BPL22" s="33"/>
      <c r="BPV22" s="33"/>
      <c r="BQF22" s="33"/>
      <c r="BQP22" s="33"/>
      <c r="BQZ22" s="33"/>
      <c r="BRJ22" s="33"/>
      <c r="BRT22" s="33"/>
      <c r="BSD22" s="33"/>
      <c r="BSN22" s="33"/>
      <c r="BSX22" s="33"/>
      <c r="BTH22" s="33"/>
      <c r="BTR22" s="33"/>
      <c r="BUB22" s="33"/>
      <c r="BUL22" s="33"/>
      <c r="BUV22" s="33"/>
      <c r="BVF22" s="33"/>
      <c r="BVP22" s="33"/>
      <c r="BVZ22" s="33"/>
      <c r="BWJ22" s="33"/>
      <c r="BWT22" s="33"/>
      <c r="BXD22" s="33"/>
      <c r="BXN22" s="33"/>
      <c r="BXX22" s="33"/>
      <c r="BYH22" s="33"/>
      <c r="BYR22" s="33"/>
      <c r="BZB22" s="33"/>
      <c r="BZL22" s="33"/>
      <c r="BZV22" s="33"/>
      <c r="CAF22" s="33"/>
      <c r="CAP22" s="33"/>
      <c r="CAZ22" s="33"/>
      <c r="CBJ22" s="33"/>
      <c r="CBT22" s="33"/>
      <c r="CCD22" s="33"/>
      <c r="CCN22" s="33"/>
      <c r="CCX22" s="33"/>
      <c r="CDH22" s="33"/>
      <c r="CDR22" s="33"/>
      <c r="CEB22" s="33"/>
      <c r="CEL22" s="33"/>
      <c r="CEV22" s="33"/>
      <c r="CFF22" s="33"/>
      <c r="CFP22" s="33"/>
      <c r="CFZ22" s="33"/>
      <c r="CGJ22" s="33"/>
      <c r="CGT22" s="33"/>
      <c r="CHD22" s="33"/>
      <c r="CHN22" s="33"/>
      <c r="CHX22" s="33"/>
      <c r="CIH22" s="33"/>
      <c r="CIR22" s="33"/>
      <c r="CJB22" s="33"/>
      <c r="CJL22" s="33"/>
      <c r="CJV22" s="33"/>
      <c r="CKF22" s="33"/>
      <c r="CKP22" s="33"/>
      <c r="CKZ22" s="33"/>
      <c r="CLJ22" s="33"/>
      <c r="CLT22" s="33"/>
      <c r="CMD22" s="33"/>
      <c r="CMN22" s="33"/>
      <c r="CMX22" s="33"/>
      <c r="CNH22" s="33"/>
      <c r="CNR22" s="33"/>
      <c r="COB22" s="33"/>
      <c r="COL22" s="33"/>
      <c r="COV22" s="33"/>
      <c r="CPF22" s="33"/>
      <c r="CPP22" s="33"/>
      <c r="CPZ22" s="33"/>
      <c r="CQJ22" s="33"/>
      <c r="CQT22" s="33"/>
      <c r="CRD22" s="33"/>
      <c r="CRN22" s="33"/>
      <c r="CRX22" s="33"/>
      <c r="CSH22" s="33"/>
      <c r="CSR22" s="33"/>
      <c r="CTB22" s="33"/>
      <c r="CTL22" s="33"/>
      <c r="CTV22" s="33"/>
    </row>
    <row r="23" customFormat="1" customHeight="1" spans="1:1020 1030:2040 2050:2570">
      <c r="A23" s="51"/>
      <c r="B23" s="7"/>
      <c r="C23" s="8"/>
      <c r="D23" s="56"/>
      <c r="E23" s="56"/>
      <c r="F23" s="53"/>
      <c r="G23" s="56"/>
      <c r="H23" s="53"/>
      <c r="I23" s="53"/>
      <c r="J23" s="52"/>
      <c r="K23" s="54"/>
    </row>
    <row r="24" s="16" customFormat="1" customHeight="1" spans="1:1020 1030:2040 2050:2570">
      <c r="A24" s="51"/>
      <c r="B24" s="7"/>
      <c r="C24" s="8"/>
      <c r="D24" s="55"/>
      <c r="E24" s="9"/>
      <c r="F24" s="53"/>
      <c r="G24" s="52"/>
      <c r="H24" s="53"/>
      <c r="I24" s="53"/>
      <c r="J24" s="52"/>
      <c r="K24" s="54"/>
      <c r="T24" s="33"/>
      <c r="AD24" s="33"/>
      <c r="AN24" s="33"/>
      <c r="AX24" s="33"/>
      <c r="BH24" s="33"/>
      <c r="BR24" s="33"/>
      <c r="CB24" s="33"/>
      <c r="CL24" s="33"/>
      <c r="CV24" s="33"/>
      <c r="DF24" s="33"/>
      <c r="DP24" s="33"/>
      <c r="DZ24" s="33"/>
      <c r="EJ24" s="33"/>
      <c r="ET24" s="33"/>
      <c r="FD24" s="33"/>
      <c r="FN24" s="33"/>
      <c r="FX24" s="33"/>
      <c r="GH24" s="33"/>
      <c r="GR24" s="33"/>
      <c r="HB24" s="33"/>
      <c r="HL24" s="33"/>
      <c r="HV24" s="33"/>
      <c r="IF24" s="33"/>
      <c r="IP24" s="33"/>
      <c r="IZ24" s="33"/>
      <c r="JJ24" s="33"/>
      <c r="JT24" s="33"/>
      <c r="KD24" s="33"/>
      <c r="KN24" s="33"/>
      <c r="KX24" s="33"/>
      <c r="LH24" s="33"/>
      <c r="LR24" s="33"/>
      <c r="MB24" s="33"/>
      <c r="ML24" s="33"/>
      <c r="MV24" s="33"/>
      <c r="NF24" s="33"/>
      <c r="NP24" s="33"/>
      <c r="NZ24" s="33"/>
      <c r="OJ24" s="33"/>
      <c r="OT24" s="33"/>
      <c r="PD24" s="33"/>
      <c r="PN24" s="33"/>
      <c r="PX24" s="33"/>
      <c r="QH24" s="33"/>
      <c r="QR24" s="33"/>
      <c r="RB24" s="33"/>
      <c r="RL24" s="33"/>
      <c r="RV24" s="33"/>
      <c r="SF24" s="33"/>
      <c r="SP24" s="33"/>
      <c r="SZ24" s="33"/>
      <c r="TJ24" s="33"/>
      <c r="TT24" s="33"/>
      <c r="UD24" s="33"/>
      <c r="UN24" s="33"/>
      <c r="UX24" s="33"/>
      <c r="VH24" s="33"/>
      <c r="VR24" s="33"/>
      <c r="WB24" s="33"/>
      <c r="WL24" s="33"/>
      <c r="WV24" s="33"/>
      <c r="XF24" s="33"/>
      <c r="XP24" s="33"/>
      <c r="XZ24" s="33"/>
      <c r="YJ24" s="33"/>
      <c r="YT24" s="33"/>
      <c r="ZD24" s="33"/>
      <c r="ZN24" s="33"/>
      <c r="ZX24" s="33"/>
      <c r="AAH24" s="33"/>
      <c r="AAR24" s="33"/>
      <c r="ABB24" s="33"/>
      <c r="ABL24" s="33"/>
      <c r="ABV24" s="33"/>
      <c r="ACF24" s="33"/>
      <c r="ACP24" s="33"/>
      <c r="ACZ24" s="33"/>
      <c r="ADJ24" s="33"/>
      <c r="ADT24" s="33"/>
      <c r="AED24" s="33"/>
      <c r="AEN24" s="33"/>
      <c r="AEX24" s="33"/>
      <c r="AFH24" s="33"/>
      <c r="AFR24" s="33"/>
      <c r="AGB24" s="33"/>
      <c r="AGL24" s="33"/>
      <c r="AGV24" s="33"/>
      <c r="AHF24" s="33"/>
      <c r="AHP24" s="33"/>
      <c r="AHZ24" s="33"/>
      <c r="AIJ24" s="33"/>
      <c r="AIT24" s="33"/>
      <c r="AJD24" s="33"/>
      <c r="AJN24" s="33"/>
      <c r="AJX24" s="33"/>
      <c r="AKH24" s="33"/>
      <c r="AKR24" s="33"/>
      <c r="ALB24" s="33"/>
      <c r="ALL24" s="33"/>
      <c r="ALV24" s="33"/>
      <c r="AMF24" s="33"/>
      <c r="AMP24" s="33"/>
      <c r="AMZ24" s="33"/>
      <c r="ANJ24" s="33"/>
      <c r="ANT24" s="33"/>
      <c r="AOD24" s="33"/>
      <c r="AON24" s="33"/>
      <c r="AOX24" s="33"/>
      <c r="APH24" s="33"/>
      <c r="APR24" s="33"/>
      <c r="AQB24" s="33"/>
      <c r="AQL24" s="33"/>
      <c r="AQV24" s="33"/>
      <c r="ARF24" s="33"/>
      <c r="ARP24" s="33"/>
      <c r="ARZ24" s="33"/>
      <c r="ASJ24" s="33"/>
      <c r="AST24" s="33"/>
      <c r="ATD24" s="33"/>
      <c r="ATN24" s="33"/>
      <c r="ATX24" s="33"/>
      <c r="AUH24" s="33"/>
      <c r="AUR24" s="33"/>
      <c r="AVB24" s="33"/>
      <c r="AVL24" s="33"/>
      <c r="AVV24" s="33"/>
      <c r="AWF24" s="33"/>
      <c r="AWP24" s="33"/>
      <c r="AWZ24" s="33"/>
      <c r="AXJ24" s="33"/>
      <c r="AXT24" s="33"/>
      <c r="AYD24" s="33"/>
      <c r="AYN24" s="33"/>
      <c r="AYX24" s="33"/>
      <c r="AZH24" s="33"/>
      <c r="AZR24" s="33"/>
      <c r="BAB24" s="33"/>
      <c r="BAL24" s="33"/>
      <c r="BAV24" s="33"/>
      <c r="BBF24" s="33"/>
      <c r="BBP24" s="33"/>
      <c r="BBZ24" s="33"/>
      <c r="BCJ24" s="33"/>
      <c r="BCT24" s="33"/>
      <c r="BDD24" s="33"/>
      <c r="BDN24" s="33"/>
      <c r="BDX24" s="33"/>
      <c r="BEH24" s="33"/>
      <c r="BER24" s="33"/>
      <c r="BFB24" s="33"/>
      <c r="BFL24" s="33"/>
      <c r="BFV24" s="33"/>
      <c r="BGF24" s="33"/>
      <c r="BGP24" s="33"/>
      <c r="BGZ24" s="33"/>
      <c r="BHJ24" s="33"/>
      <c r="BHT24" s="33"/>
      <c r="BID24" s="33"/>
      <c r="BIN24" s="33"/>
      <c r="BIX24" s="33"/>
      <c r="BJH24" s="33"/>
      <c r="BJR24" s="33"/>
      <c r="BKB24" s="33"/>
      <c r="BKL24" s="33"/>
      <c r="BKV24" s="33"/>
      <c r="BLF24" s="33"/>
      <c r="BLP24" s="33"/>
      <c r="BLZ24" s="33"/>
      <c r="BMJ24" s="33"/>
      <c r="BMT24" s="33"/>
      <c r="BND24" s="33"/>
      <c r="BNN24" s="33"/>
      <c r="BNX24" s="33"/>
      <c r="BOH24" s="33"/>
      <c r="BOR24" s="33"/>
      <c r="BPB24" s="33"/>
      <c r="BPL24" s="33"/>
      <c r="BPV24" s="33"/>
      <c r="BQF24" s="33"/>
      <c r="BQP24" s="33"/>
      <c r="BQZ24" s="33"/>
      <c r="BRJ24" s="33"/>
      <c r="BRT24" s="33"/>
      <c r="BSD24" s="33"/>
      <c r="BSN24" s="33"/>
      <c r="BSX24" s="33"/>
      <c r="BTH24" s="33"/>
      <c r="BTR24" s="33"/>
      <c r="BUB24" s="33"/>
      <c r="BUL24" s="33"/>
      <c r="BUV24" s="33"/>
      <c r="BVF24" s="33"/>
      <c r="BVP24" s="33"/>
      <c r="BVZ24" s="33"/>
      <c r="BWJ24" s="33"/>
      <c r="BWT24" s="33"/>
      <c r="BXD24" s="33"/>
      <c r="BXN24" s="33"/>
      <c r="BXX24" s="33"/>
      <c r="BYH24" s="33"/>
      <c r="BYR24" s="33"/>
      <c r="BZB24" s="33"/>
      <c r="BZL24" s="33"/>
      <c r="BZV24" s="33"/>
      <c r="CAF24" s="33"/>
      <c r="CAP24" s="33"/>
      <c r="CAZ24" s="33"/>
      <c r="CBJ24" s="33"/>
      <c r="CBT24" s="33"/>
      <c r="CCD24" s="33"/>
      <c r="CCN24" s="33"/>
      <c r="CCX24" s="33"/>
      <c r="CDH24" s="33"/>
      <c r="CDR24" s="33"/>
      <c r="CEB24" s="33"/>
      <c r="CEL24" s="33"/>
      <c r="CEV24" s="33"/>
      <c r="CFF24" s="33"/>
      <c r="CFP24" s="33"/>
      <c r="CFZ24" s="33"/>
      <c r="CGJ24" s="33"/>
      <c r="CGT24" s="33"/>
      <c r="CHD24" s="33"/>
      <c r="CHN24" s="33"/>
      <c r="CHX24" s="33"/>
      <c r="CIH24" s="33"/>
      <c r="CIR24" s="33"/>
      <c r="CJB24" s="33"/>
      <c r="CJL24" s="33"/>
      <c r="CJV24" s="33"/>
      <c r="CKF24" s="33"/>
      <c r="CKP24" s="33"/>
      <c r="CKZ24" s="33"/>
      <c r="CLJ24" s="33"/>
      <c r="CLT24" s="33"/>
      <c r="CMD24" s="33"/>
      <c r="CMN24" s="33"/>
      <c r="CMX24" s="33"/>
      <c r="CNH24" s="33"/>
      <c r="CNR24" s="33"/>
      <c r="COB24" s="33"/>
      <c r="COL24" s="33"/>
      <c r="COV24" s="33"/>
      <c r="CPF24" s="33"/>
      <c r="CPP24" s="33"/>
      <c r="CPZ24" s="33"/>
      <c r="CQJ24" s="33"/>
      <c r="CQT24" s="33"/>
      <c r="CRD24" s="33"/>
      <c r="CRN24" s="33"/>
      <c r="CRX24" s="33"/>
      <c r="CSH24" s="33"/>
      <c r="CSR24" s="33"/>
      <c r="CTB24" s="33"/>
      <c r="CTL24" s="33"/>
      <c r="CTV24" s="33"/>
    </row>
    <row r="25" s="16" customFormat="1" customHeight="1" spans="1:1020 1030:2040 2050:2570">
      <c r="A25" s="51"/>
      <c r="B25" s="7"/>
      <c r="C25" s="8"/>
      <c r="D25" s="52"/>
      <c r="E25" s="52"/>
      <c r="F25" s="53"/>
      <c r="G25" s="52"/>
      <c r="H25" s="53"/>
      <c r="I25" s="53"/>
      <c r="J25" s="52"/>
      <c r="K25" s="54"/>
      <c r="T25" s="33"/>
      <c r="AD25" s="33"/>
      <c r="AN25" s="33"/>
      <c r="AX25" s="33"/>
      <c r="BH25" s="33"/>
      <c r="BR25" s="33"/>
      <c r="CB25" s="33"/>
      <c r="CL25" s="33"/>
      <c r="CV25" s="33"/>
      <c r="DF25" s="33"/>
      <c r="DP25" s="33"/>
      <c r="DZ25" s="33"/>
      <c r="EJ25" s="33"/>
      <c r="ET25" s="33"/>
      <c r="FD25" s="33"/>
      <c r="FN25" s="33"/>
      <c r="FX25" s="33"/>
      <c r="GH25" s="33"/>
      <c r="GR25" s="33"/>
      <c r="HB25" s="33"/>
      <c r="HL25" s="33"/>
      <c r="HV25" s="33"/>
      <c r="IF25" s="33"/>
      <c r="IP25" s="33"/>
      <c r="IZ25" s="33"/>
      <c r="JJ25" s="33"/>
      <c r="JT25" s="33"/>
      <c r="KD25" s="33"/>
      <c r="KN25" s="33"/>
      <c r="KX25" s="33"/>
      <c r="LH25" s="33"/>
      <c r="LR25" s="33"/>
      <c r="MB25" s="33"/>
      <c r="ML25" s="33"/>
      <c r="MV25" s="33"/>
      <c r="NF25" s="33"/>
      <c r="NP25" s="33"/>
      <c r="NZ25" s="33"/>
      <c r="OJ25" s="33"/>
      <c r="OT25" s="33"/>
      <c r="PD25" s="33"/>
      <c r="PN25" s="33"/>
      <c r="PX25" s="33"/>
      <c r="QH25" s="33"/>
      <c r="QR25" s="33"/>
      <c r="RB25" s="33"/>
      <c r="RL25" s="33"/>
      <c r="RV25" s="33"/>
      <c r="SF25" s="33"/>
      <c r="SP25" s="33"/>
      <c r="SZ25" s="33"/>
      <c r="TJ25" s="33"/>
      <c r="TT25" s="33"/>
      <c r="UD25" s="33"/>
      <c r="UN25" s="33"/>
      <c r="UX25" s="33"/>
      <c r="VH25" s="33"/>
      <c r="VR25" s="33"/>
      <c r="WB25" s="33"/>
      <c r="WL25" s="33"/>
      <c r="WV25" s="33"/>
      <c r="XF25" s="33"/>
      <c r="XP25" s="33"/>
      <c r="XZ25" s="33"/>
      <c r="YJ25" s="33"/>
      <c r="YT25" s="33"/>
      <c r="ZD25" s="33"/>
      <c r="ZN25" s="33"/>
      <c r="ZX25" s="33"/>
      <c r="AAH25" s="33"/>
      <c r="AAR25" s="33"/>
      <c r="ABB25" s="33"/>
      <c r="ABL25" s="33"/>
      <c r="ABV25" s="33"/>
      <c r="ACF25" s="33"/>
      <c r="ACP25" s="33"/>
      <c r="ACZ25" s="33"/>
      <c r="ADJ25" s="33"/>
      <c r="ADT25" s="33"/>
      <c r="AED25" s="33"/>
      <c r="AEN25" s="33"/>
      <c r="AEX25" s="33"/>
      <c r="AFH25" s="33"/>
      <c r="AFR25" s="33"/>
      <c r="AGB25" s="33"/>
      <c r="AGL25" s="33"/>
      <c r="AGV25" s="33"/>
      <c r="AHF25" s="33"/>
      <c r="AHP25" s="33"/>
      <c r="AHZ25" s="33"/>
      <c r="AIJ25" s="33"/>
      <c r="AIT25" s="33"/>
      <c r="AJD25" s="33"/>
      <c r="AJN25" s="33"/>
      <c r="AJX25" s="33"/>
      <c r="AKH25" s="33"/>
      <c r="AKR25" s="33"/>
      <c r="ALB25" s="33"/>
      <c r="ALL25" s="33"/>
      <c r="ALV25" s="33"/>
      <c r="AMF25" s="33"/>
      <c r="AMP25" s="33"/>
      <c r="AMZ25" s="33"/>
      <c r="ANJ25" s="33"/>
      <c r="ANT25" s="33"/>
      <c r="AOD25" s="33"/>
      <c r="AON25" s="33"/>
      <c r="AOX25" s="33"/>
      <c r="APH25" s="33"/>
      <c r="APR25" s="33"/>
      <c r="AQB25" s="33"/>
      <c r="AQL25" s="33"/>
      <c r="AQV25" s="33"/>
      <c r="ARF25" s="33"/>
      <c r="ARP25" s="33"/>
      <c r="ARZ25" s="33"/>
      <c r="ASJ25" s="33"/>
      <c r="AST25" s="33"/>
      <c r="ATD25" s="33"/>
      <c r="ATN25" s="33"/>
      <c r="ATX25" s="33"/>
      <c r="AUH25" s="33"/>
      <c r="AUR25" s="33"/>
      <c r="AVB25" s="33"/>
      <c r="AVL25" s="33"/>
      <c r="AVV25" s="33"/>
      <c r="AWF25" s="33"/>
      <c r="AWP25" s="33"/>
      <c r="AWZ25" s="33"/>
      <c r="AXJ25" s="33"/>
      <c r="AXT25" s="33"/>
      <c r="AYD25" s="33"/>
      <c r="AYN25" s="33"/>
      <c r="AYX25" s="33"/>
      <c r="AZH25" s="33"/>
      <c r="AZR25" s="33"/>
      <c r="BAB25" s="33"/>
      <c r="BAL25" s="33"/>
      <c r="BAV25" s="33"/>
      <c r="BBF25" s="33"/>
      <c r="BBP25" s="33"/>
      <c r="BBZ25" s="33"/>
      <c r="BCJ25" s="33"/>
      <c r="BCT25" s="33"/>
      <c r="BDD25" s="33"/>
      <c r="BDN25" s="33"/>
      <c r="BDX25" s="33"/>
      <c r="BEH25" s="33"/>
      <c r="BER25" s="33"/>
      <c r="BFB25" s="33"/>
      <c r="BFL25" s="33"/>
      <c r="BFV25" s="33"/>
      <c r="BGF25" s="33"/>
      <c r="BGP25" s="33"/>
      <c r="BGZ25" s="33"/>
      <c r="BHJ25" s="33"/>
      <c r="BHT25" s="33"/>
      <c r="BID25" s="33"/>
      <c r="BIN25" s="33"/>
      <c r="BIX25" s="33"/>
      <c r="BJH25" s="33"/>
      <c r="BJR25" s="33"/>
      <c r="BKB25" s="33"/>
      <c r="BKL25" s="33"/>
      <c r="BKV25" s="33"/>
      <c r="BLF25" s="33"/>
      <c r="BLP25" s="33"/>
      <c r="BLZ25" s="33"/>
      <c r="BMJ25" s="33"/>
      <c r="BMT25" s="33"/>
      <c r="BND25" s="33"/>
      <c r="BNN25" s="33"/>
      <c r="BNX25" s="33"/>
      <c r="BOH25" s="33"/>
      <c r="BOR25" s="33"/>
      <c r="BPB25" s="33"/>
      <c r="BPL25" s="33"/>
      <c r="BPV25" s="33"/>
      <c r="BQF25" s="33"/>
      <c r="BQP25" s="33"/>
      <c r="BQZ25" s="33"/>
      <c r="BRJ25" s="33"/>
      <c r="BRT25" s="33"/>
      <c r="BSD25" s="33"/>
      <c r="BSN25" s="33"/>
      <c r="BSX25" s="33"/>
      <c r="BTH25" s="33"/>
      <c r="BTR25" s="33"/>
      <c r="BUB25" s="33"/>
      <c r="BUL25" s="33"/>
      <c r="BUV25" s="33"/>
      <c r="BVF25" s="33"/>
      <c r="BVP25" s="33"/>
      <c r="BVZ25" s="33"/>
      <c r="BWJ25" s="33"/>
      <c r="BWT25" s="33"/>
      <c r="BXD25" s="33"/>
      <c r="BXN25" s="33"/>
      <c r="BXX25" s="33"/>
      <c r="BYH25" s="33"/>
      <c r="BYR25" s="33"/>
      <c r="BZB25" s="33"/>
      <c r="BZL25" s="33"/>
      <c r="BZV25" s="33"/>
      <c r="CAF25" s="33"/>
      <c r="CAP25" s="33"/>
      <c r="CAZ25" s="33"/>
      <c r="CBJ25" s="33"/>
      <c r="CBT25" s="33"/>
      <c r="CCD25" s="33"/>
      <c r="CCN25" s="33"/>
      <c r="CCX25" s="33"/>
      <c r="CDH25" s="33"/>
      <c r="CDR25" s="33"/>
      <c r="CEB25" s="33"/>
      <c r="CEL25" s="33"/>
      <c r="CEV25" s="33"/>
      <c r="CFF25" s="33"/>
      <c r="CFP25" s="33"/>
      <c r="CFZ25" s="33"/>
      <c r="CGJ25" s="33"/>
      <c r="CGT25" s="33"/>
      <c r="CHD25" s="33"/>
      <c r="CHN25" s="33"/>
      <c r="CHX25" s="33"/>
      <c r="CIH25" s="33"/>
      <c r="CIR25" s="33"/>
      <c r="CJB25" s="33"/>
      <c r="CJL25" s="33"/>
      <c r="CJV25" s="33"/>
      <c r="CKF25" s="33"/>
      <c r="CKP25" s="33"/>
      <c r="CKZ25" s="33"/>
      <c r="CLJ25" s="33"/>
      <c r="CLT25" s="33"/>
      <c r="CMD25" s="33"/>
      <c r="CMN25" s="33"/>
      <c r="CMX25" s="33"/>
      <c r="CNH25" s="33"/>
      <c r="CNR25" s="33"/>
      <c r="COB25" s="33"/>
      <c r="COL25" s="33"/>
      <c r="COV25" s="33"/>
      <c r="CPF25" s="33"/>
      <c r="CPP25" s="33"/>
      <c r="CPZ25" s="33"/>
      <c r="CQJ25" s="33"/>
      <c r="CQT25" s="33"/>
      <c r="CRD25" s="33"/>
      <c r="CRN25" s="33"/>
      <c r="CRX25" s="33"/>
      <c r="CSH25" s="33"/>
      <c r="CSR25" s="33"/>
      <c r="CTB25" s="33"/>
      <c r="CTL25" s="33"/>
      <c r="CTV25" s="33"/>
    </row>
    <row r="26" s="16" customFormat="1" customHeight="1" spans="1:1020 1030:2040 2050:2570">
      <c r="A26" s="57"/>
      <c r="B26" s="36"/>
      <c r="C26" s="8"/>
      <c r="D26" s="52"/>
      <c r="E26" s="52"/>
      <c r="F26" s="53" t="str">
        <f>IFERROR(VLOOKUP(E26,基础数据!$E$4:$H$5,2,0),"")</f>
        <v/>
      </c>
      <c r="G26" s="52"/>
      <c r="H26" s="53" t="str">
        <f>IFERROR(VLOOKUP(E26,基础数据!$E$4:$H$4,4,0),"")</f>
        <v/>
      </c>
      <c r="I26" s="53" t="str">
        <f>IFERROR(VLOOKUP(E26,基础数据!$E$4:$H$4,3,0),"")</f>
        <v/>
      </c>
      <c r="J26" s="52"/>
      <c r="K26" s="54" t="str">
        <f t="shared" ref="K26:K55" si="0">IFERROR(G26/I26,"")</f>
        <v/>
      </c>
      <c r="T26" s="33"/>
      <c r="AD26" s="33"/>
      <c r="AN26" s="33"/>
      <c r="AX26" s="33"/>
      <c r="BH26" s="33"/>
      <c r="BR26" s="33"/>
      <c r="CB26" s="33"/>
      <c r="CL26" s="33"/>
      <c r="CV26" s="33"/>
      <c r="DF26" s="33"/>
      <c r="DP26" s="33"/>
      <c r="DZ26" s="33"/>
      <c r="EJ26" s="33"/>
      <c r="ET26" s="33"/>
      <c r="FD26" s="33"/>
      <c r="FN26" s="33"/>
      <c r="FX26" s="33"/>
      <c r="GH26" s="33"/>
      <c r="GR26" s="33"/>
      <c r="HB26" s="33"/>
      <c r="HL26" s="33"/>
      <c r="HV26" s="33"/>
      <c r="IF26" s="33"/>
      <c r="IP26" s="33"/>
      <c r="IZ26" s="33"/>
      <c r="JJ26" s="33"/>
      <c r="JT26" s="33"/>
      <c r="KD26" s="33"/>
      <c r="KN26" s="33"/>
      <c r="KX26" s="33"/>
      <c r="LH26" s="33"/>
      <c r="LR26" s="33"/>
      <c r="MB26" s="33"/>
      <c r="ML26" s="33"/>
      <c r="MV26" s="33"/>
      <c r="NF26" s="33"/>
      <c r="NP26" s="33"/>
      <c r="NZ26" s="33"/>
      <c r="OJ26" s="33"/>
      <c r="OT26" s="33"/>
      <c r="PD26" s="33"/>
      <c r="PN26" s="33"/>
      <c r="PX26" s="33"/>
      <c r="QH26" s="33"/>
      <c r="QR26" s="33"/>
      <c r="RB26" s="33"/>
      <c r="RL26" s="33"/>
      <c r="RV26" s="33"/>
      <c r="SF26" s="33"/>
      <c r="SP26" s="33"/>
      <c r="SZ26" s="33"/>
      <c r="TJ26" s="33"/>
      <c r="TT26" s="33"/>
      <c r="UD26" s="33"/>
      <c r="UN26" s="33"/>
      <c r="UX26" s="33"/>
      <c r="VH26" s="33"/>
      <c r="VR26" s="33"/>
      <c r="WB26" s="33"/>
      <c r="WL26" s="33"/>
      <c r="WV26" s="33"/>
      <c r="XF26" s="33"/>
      <c r="XP26" s="33"/>
      <c r="XZ26" s="33"/>
      <c r="YJ26" s="33"/>
      <c r="YT26" s="33"/>
      <c r="ZD26" s="33"/>
      <c r="ZN26" s="33"/>
      <c r="ZX26" s="33"/>
      <c r="AAH26" s="33"/>
      <c r="AAR26" s="33"/>
      <c r="ABB26" s="33"/>
      <c r="ABL26" s="33"/>
      <c r="ABV26" s="33"/>
      <c r="ACF26" s="33"/>
      <c r="ACP26" s="33"/>
      <c r="ACZ26" s="33"/>
      <c r="ADJ26" s="33"/>
      <c r="ADT26" s="33"/>
      <c r="AED26" s="33"/>
      <c r="AEN26" s="33"/>
      <c r="AEX26" s="33"/>
      <c r="AFH26" s="33"/>
      <c r="AFR26" s="33"/>
      <c r="AGB26" s="33"/>
      <c r="AGL26" s="33"/>
      <c r="AGV26" s="33"/>
      <c r="AHF26" s="33"/>
      <c r="AHP26" s="33"/>
      <c r="AHZ26" s="33"/>
      <c r="AIJ26" s="33"/>
      <c r="AIT26" s="33"/>
      <c r="AJD26" s="33"/>
      <c r="AJN26" s="33"/>
      <c r="AJX26" s="33"/>
      <c r="AKH26" s="33"/>
      <c r="AKR26" s="33"/>
      <c r="ALB26" s="33"/>
      <c r="ALL26" s="33"/>
      <c r="ALV26" s="33"/>
      <c r="AMF26" s="33"/>
      <c r="AMP26" s="33"/>
      <c r="AMZ26" s="33"/>
      <c r="ANJ26" s="33"/>
      <c r="ANT26" s="33"/>
      <c r="AOD26" s="33"/>
      <c r="AON26" s="33"/>
      <c r="AOX26" s="33"/>
      <c r="APH26" s="33"/>
      <c r="APR26" s="33"/>
      <c r="AQB26" s="33"/>
      <c r="AQL26" s="33"/>
      <c r="AQV26" s="33"/>
      <c r="ARF26" s="33"/>
      <c r="ARP26" s="33"/>
      <c r="ARZ26" s="33"/>
      <c r="ASJ26" s="33"/>
      <c r="AST26" s="33"/>
      <c r="ATD26" s="33"/>
      <c r="ATN26" s="33"/>
      <c r="ATX26" s="33"/>
      <c r="AUH26" s="33"/>
      <c r="AUR26" s="33"/>
      <c r="AVB26" s="33"/>
      <c r="AVL26" s="33"/>
      <c r="AVV26" s="33"/>
      <c r="AWF26" s="33"/>
      <c r="AWP26" s="33"/>
      <c r="AWZ26" s="33"/>
      <c r="AXJ26" s="33"/>
      <c r="AXT26" s="33"/>
      <c r="AYD26" s="33"/>
      <c r="AYN26" s="33"/>
      <c r="AYX26" s="33"/>
      <c r="AZH26" s="33"/>
      <c r="AZR26" s="33"/>
      <c r="BAB26" s="33"/>
      <c r="BAL26" s="33"/>
      <c r="BAV26" s="33"/>
      <c r="BBF26" s="33"/>
      <c r="BBP26" s="33"/>
      <c r="BBZ26" s="33"/>
      <c r="BCJ26" s="33"/>
      <c r="BCT26" s="33"/>
      <c r="BDD26" s="33"/>
      <c r="BDN26" s="33"/>
      <c r="BDX26" s="33"/>
      <c r="BEH26" s="33"/>
      <c r="BER26" s="33"/>
      <c r="BFB26" s="33"/>
      <c r="BFL26" s="33"/>
      <c r="BFV26" s="33"/>
      <c r="BGF26" s="33"/>
      <c r="BGP26" s="33"/>
      <c r="BGZ26" s="33"/>
      <c r="BHJ26" s="33"/>
      <c r="BHT26" s="33"/>
      <c r="BID26" s="33"/>
      <c r="BIN26" s="33"/>
      <c r="BIX26" s="33"/>
      <c r="BJH26" s="33"/>
      <c r="BJR26" s="33"/>
      <c r="BKB26" s="33"/>
      <c r="BKL26" s="33"/>
      <c r="BKV26" s="33"/>
      <c r="BLF26" s="33"/>
      <c r="BLP26" s="33"/>
      <c r="BLZ26" s="33"/>
      <c r="BMJ26" s="33"/>
      <c r="BMT26" s="33"/>
      <c r="BND26" s="33"/>
      <c r="BNN26" s="33"/>
      <c r="BNX26" s="33"/>
      <c r="BOH26" s="33"/>
      <c r="BOR26" s="33"/>
      <c r="BPB26" s="33"/>
      <c r="BPL26" s="33"/>
      <c r="BPV26" s="33"/>
      <c r="BQF26" s="33"/>
      <c r="BQP26" s="33"/>
      <c r="BQZ26" s="33"/>
      <c r="BRJ26" s="33"/>
      <c r="BRT26" s="33"/>
      <c r="BSD26" s="33"/>
      <c r="BSN26" s="33"/>
      <c r="BSX26" s="33"/>
      <c r="BTH26" s="33"/>
      <c r="BTR26" s="33"/>
      <c r="BUB26" s="33"/>
      <c r="BUL26" s="33"/>
      <c r="BUV26" s="33"/>
      <c r="BVF26" s="33"/>
      <c r="BVP26" s="33"/>
      <c r="BVZ26" s="33"/>
      <c r="BWJ26" s="33"/>
      <c r="BWT26" s="33"/>
      <c r="BXD26" s="33"/>
      <c r="BXN26" s="33"/>
      <c r="BXX26" s="33"/>
      <c r="BYH26" s="33"/>
      <c r="BYR26" s="33"/>
      <c r="BZB26" s="33"/>
      <c r="BZL26" s="33"/>
      <c r="BZV26" s="33"/>
      <c r="CAF26" s="33"/>
      <c r="CAP26" s="33"/>
      <c r="CAZ26" s="33"/>
      <c r="CBJ26" s="33"/>
      <c r="CBT26" s="33"/>
      <c r="CCD26" s="33"/>
      <c r="CCN26" s="33"/>
      <c r="CCX26" s="33"/>
      <c r="CDH26" s="33"/>
      <c r="CDR26" s="33"/>
      <c r="CEB26" s="33"/>
      <c r="CEL26" s="33"/>
      <c r="CEV26" s="33"/>
      <c r="CFF26" s="33"/>
      <c r="CFP26" s="33"/>
      <c r="CFZ26" s="33"/>
      <c r="CGJ26" s="33"/>
      <c r="CGT26" s="33"/>
      <c r="CHD26" s="33"/>
      <c r="CHN26" s="33"/>
      <c r="CHX26" s="33"/>
      <c r="CIH26" s="33"/>
      <c r="CIR26" s="33"/>
      <c r="CJB26" s="33"/>
      <c r="CJL26" s="33"/>
      <c r="CJV26" s="33"/>
      <c r="CKF26" s="33"/>
      <c r="CKP26" s="33"/>
      <c r="CKZ26" s="33"/>
      <c r="CLJ26" s="33"/>
      <c r="CLT26" s="33"/>
      <c r="CMD26" s="33"/>
      <c r="CMN26" s="33"/>
      <c r="CMX26" s="33"/>
      <c r="CNH26" s="33"/>
      <c r="CNR26" s="33"/>
      <c r="COB26" s="33"/>
      <c r="COL26" s="33"/>
      <c r="COV26" s="33"/>
      <c r="CPF26" s="33"/>
      <c r="CPP26" s="33"/>
      <c r="CPZ26" s="33"/>
      <c r="CQJ26" s="33"/>
      <c r="CQT26" s="33"/>
      <c r="CRD26" s="33"/>
      <c r="CRN26" s="33"/>
      <c r="CRX26" s="33"/>
      <c r="CSH26" s="33"/>
      <c r="CSR26" s="33"/>
      <c r="CTB26" s="33"/>
      <c r="CTL26" s="33"/>
      <c r="CTV26" s="33"/>
    </row>
    <row r="27" s="16" customFormat="1" customHeight="1" spans="1:1020 1030:2040 2050:2570">
      <c r="A27" s="57"/>
      <c r="B27" s="36"/>
      <c r="C27" s="8"/>
      <c r="D27" s="52"/>
      <c r="E27" s="52"/>
      <c r="F27" s="58" t="str">
        <f>IFERROR(VLOOKUP(E27,日报!E:G,2,0),"")</f>
        <v/>
      </c>
      <c r="G27" s="52"/>
      <c r="H27" s="53" t="str">
        <f>IFERROR(VLOOKUP(E27,基础数据!$E$4:$H$4,4,0),"")</f>
        <v/>
      </c>
      <c r="I27" s="53" t="str">
        <f>IFERROR(VLOOKUP(E27,基础数据!$E$4:$H$4,3,0),"")</f>
        <v/>
      </c>
      <c r="J27" s="52"/>
      <c r="K27" s="54" t="str">
        <f t="shared" si="0"/>
        <v/>
      </c>
      <c r="T27" s="33"/>
      <c r="AD27" s="33"/>
      <c r="AN27" s="33"/>
      <c r="AX27" s="33"/>
      <c r="BH27" s="33"/>
      <c r="BR27" s="33"/>
      <c r="CB27" s="33"/>
      <c r="CL27" s="33"/>
      <c r="CV27" s="33"/>
      <c r="DF27" s="33"/>
      <c r="DP27" s="33"/>
      <c r="DZ27" s="33"/>
      <c r="EJ27" s="33"/>
      <c r="ET27" s="33"/>
      <c r="FD27" s="33"/>
      <c r="FN27" s="33"/>
      <c r="FX27" s="33"/>
      <c r="GH27" s="33"/>
      <c r="GR27" s="33"/>
      <c r="HB27" s="33"/>
      <c r="HL27" s="33"/>
      <c r="HV27" s="33"/>
      <c r="IF27" s="33"/>
      <c r="IP27" s="33"/>
      <c r="IZ27" s="33"/>
      <c r="JJ27" s="33"/>
      <c r="JT27" s="33"/>
      <c r="KD27" s="33"/>
      <c r="KN27" s="33"/>
      <c r="KX27" s="33"/>
      <c r="LH27" s="33"/>
      <c r="LR27" s="33"/>
      <c r="MB27" s="33"/>
      <c r="ML27" s="33"/>
      <c r="MV27" s="33"/>
      <c r="NF27" s="33"/>
      <c r="NP27" s="33"/>
      <c r="NZ27" s="33"/>
      <c r="OJ27" s="33"/>
      <c r="OT27" s="33"/>
      <c r="PD27" s="33"/>
      <c r="PN27" s="33"/>
      <c r="PX27" s="33"/>
      <c r="QH27" s="33"/>
      <c r="QR27" s="33"/>
      <c r="RB27" s="33"/>
      <c r="RL27" s="33"/>
      <c r="RV27" s="33"/>
      <c r="SF27" s="33"/>
      <c r="SP27" s="33"/>
      <c r="SZ27" s="33"/>
      <c r="TJ27" s="33"/>
      <c r="TT27" s="33"/>
      <c r="UD27" s="33"/>
      <c r="UN27" s="33"/>
      <c r="UX27" s="33"/>
      <c r="VH27" s="33"/>
      <c r="VR27" s="33"/>
      <c r="WB27" s="33"/>
      <c r="WL27" s="33"/>
      <c r="WV27" s="33"/>
      <c r="XF27" s="33"/>
      <c r="XP27" s="33"/>
      <c r="XZ27" s="33"/>
      <c r="YJ27" s="33"/>
      <c r="YT27" s="33"/>
      <c r="ZD27" s="33"/>
      <c r="ZN27" s="33"/>
      <c r="ZX27" s="33"/>
      <c r="AAH27" s="33"/>
      <c r="AAR27" s="33"/>
      <c r="ABB27" s="33"/>
      <c r="ABL27" s="33"/>
      <c r="ABV27" s="33"/>
      <c r="ACF27" s="33"/>
      <c r="ACP27" s="33"/>
      <c r="ACZ27" s="33"/>
      <c r="ADJ27" s="33"/>
      <c r="ADT27" s="33"/>
      <c r="AED27" s="33"/>
      <c r="AEN27" s="33"/>
      <c r="AEX27" s="33"/>
      <c r="AFH27" s="33"/>
      <c r="AFR27" s="33"/>
      <c r="AGB27" s="33"/>
      <c r="AGL27" s="33"/>
      <c r="AGV27" s="33"/>
      <c r="AHF27" s="33"/>
      <c r="AHP27" s="33"/>
      <c r="AHZ27" s="33"/>
      <c r="AIJ27" s="33"/>
      <c r="AIT27" s="33"/>
      <c r="AJD27" s="33"/>
      <c r="AJN27" s="33"/>
      <c r="AJX27" s="33"/>
      <c r="AKH27" s="33"/>
      <c r="AKR27" s="33"/>
      <c r="ALB27" s="33"/>
      <c r="ALL27" s="33"/>
      <c r="ALV27" s="33"/>
      <c r="AMF27" s="33"/>
      <c r="AMP27" s="33"/>
      <c r="AMZ27" s="33"/>
      <c r="ANJ27" s="33"/>
      <c r="ANT27" s="33"/>
      <c r="AOD27" s="33"/>
      <c r="AON27" s="33"/>
      <c r="AOX27" s="33"/>
      <c r="APH27" s="33"/>
      <c r="APR27" s="33"/>
      <c r="AQB27" s="33"/>
      <c r="AQL27" s="33"/>
      <c r="AQV27" s="33"/>
      <c r="ARF27" s="33"/>
      <c r="ARP27" s="33"/>
      <c r="ARZ27" s="33"/>
      <c r="ASJ27" s="33"/>
      <c r="AST27" s="33"/>
      <c r="ATD27" s="33"/>
      <c r="ATN27" s="33"/>
      <c r="ATX27" s="33"/>
      <c r="AUH27" s="33"/>
      <c r="AUR27" s="33"/>
      <c r="AVB27" s="33"/>
      <c r="AVL27" s="33"/>
      <c r="AVV27" s="33"/>
      <c r="AWF27" s="33"/>
      <c r="AWP27" s="33"/>
      <c r="AWZ27" s="33"/>
      <c r="AXJ27" s="33"/>
      <c r="AXT27" s="33"/>
      <c r="AYD27" s="33"/>
      <c r="AYN27" s="33"/>
      <c r="AYX27" s="33"/>
      <c r="AZH27" s="33"/>
      <c r="AZR27" s="33"/>
      <c r="BAB27" s="33"/>
      <c r="BAL27" s="33"/>
      <c r="BAV27" s="33"/>
      <c r="BBF27" s="33"/>
      <c r="BBP27" s="33"/>
      <c r="BBZ27" s="33"/>
      <c r="BCJ27" s="33"/>
      <c r="BCT27" s="33"/>
      <c r="BDD27" s="33"/>
      <c r="BDN27" s="33"/>
      <c r="BDX27" s="33"/>
      <c r="BEH27" s="33"/>
      <c r="BER27" s="33"/>
      <c r="BFB27" s="33"/>
      <c r="BFL27" s="33"/>
      <c r="BFV27" s="33"/>
      <c r="BGF27" s="33"/>
      <c r="BGP27" s="33"/>
      <c r="BGZ27" s="33"/>
      <c r="BHJ27" s="33"/>
      <c r="BHT27" s="33"/>
      <c r="BID27" s="33"/>
      <c r="BIN27" s="33"/>
      <c r="BIX27" s="33"/>
      <c r="BJH27" s="33"/>
      <c r="BJR27" s="33"/>
      <c r="BKB27" s="33"/>
      <c r="BKL27" s="33"/>
      <c r="BKV27" s="33"/>
      <c r="BLF27" s="33"/>
      <c r="BLP27" s="33"/>
      <c r="BLZ27" s="33"/>
      <c r="BMJ27" s="33"/>
      <c r="BMT27" s="33"/>
      <c r="BND27" s="33"/>
      <c r="BNN27" s="33"/>
      <c r="BNX27" s="33"/>
      <c r="BOH27" s="33"/>
      <c r="BOR27" s="33"/>
      <c r="BPB27" s="33"/>
      <c r="BPL27" s="33"/>
      <c r="BPV27" s="33"/>
      <c r="BQF27" s="33"/>
      <c r="BQP27" s="33"/>
      <c r="BQZ27" s="33"/>
      <c r="BRJ27" s="33"/>
      <c r="BRT27" s="33"/>
      <c r="BSD27" s="33"/>
      <c r="BSN27" s="33"/>
      <c r="BSX27" s="33"/>
      <c r="BTH27" s="33"/>
      <c r="BTR27" s="33"/>
      <c r="BUB27" s="33"/>
      <c r="BUL27" s="33"/>
      <c r="BUV27" s="33"/>
      <c r="BVF27" s="33"/>
      <c r="BVP27" s="33"/>
      <c r="BVZ27" s="33"/>
      <c r="BWJ27" s="33"/>
      <c r="BWT27" s="33"/>
      <c r="BXD27" s="33"/>
      <c r="BXN27" s="33"/>
      <c r="BXX27" s="33"/>
      <c r="BYH27" s="33"/>
      <c r="BYR27" s="33"/>
      <c r="BZB27" s="33"/>
      <c r="BZL27" s="33"/>
      <c r="BZV27" s="33"/>
      <c r="CAF27" s="33"/>
      <c r="CAP27" s="33"/>
      <c r="CAZ27" s="33"/>
      <c r="CBJ27" s="33"/>
      <c r="CBT27" s="33"/>
      <c r="CCD27" s="33"/>
      <c r="CCN27" s="33"/>
      <c r="CCX27" s="33"/>
      <c r="CDH27" s="33"/>
      <c r="CDR27" s="33"/>
      <c r="CEB27" s="33"/>
      <c r="CEL27" s="33"/>
      <c r="CEV27" s="33"/>
      <c r="CFF27" s="33"/>
      <c r="CFP27" s="33"/>
      <c r="CFZ27" s="33"/>
      <c r="CGJ27" s="33"/>
      <c r="CGT27" s="33"/>
      <c r="CHD27" s="33"/>
      <c r="CHN27" s="33"/>
      <c r="CHX27" s="33"/>
      <c r="CIH27" s="33"/>
      <c r="CIR27" s="33"/>
      <c r="CJB27" s="33"/>
      <c r="CJL27" s="33"/>
      <c r="CJV27" s="33"/>
      <c r="CKF27" s="33"/>
      <c r="CKP27" s="33"/>
      <c r="CKZ27" s="33"/>
      <c r="CLJ27" s="33"/>
      <c r="CLT27" s="33"/>
      <c r="CMD27" s="33"/>
      <c r="CMN27" s="33"/>
      <c r="CMX27" s="33"/>
      <c r="CNH27" s="33"/>
      <c r="CNR27" s="33"/>
      <c r="COB27" s="33"/>
      <c r="COL27" s="33"/>
      <c r="COV27" s="33"/>
      <c r="CPF27" s="33"/>
      <c r="CPP27" s="33"/>
      <c r="CPZ27" s="33"/>
      <c r="CQJ27" s="33"/>
      <c r="CQT27" s="33"/>
      <c r="CRD27" s="33"/>
      <c r="CRN27" s="33"/>
      <c r="CRX27" s="33"/>
      <c r="CSH27" s="33"/>
      <c r="CSR27" s="33"/>
      <c r="CTB27" s="33"/>
      <c r="CTL27" s="33"/>
      <c r="CTV27" s="33"/>
    </row>
    <row r="28" s="16" customFormat="1" customHeight="1" spans="1:1020 1030:2040 2050:2570">
      <c r="A28" s="57"/>
      <c r="B28" s="36"/>
      <c r="C28" s="8"/>
      <c r="D28" s="52"/>
      <c r="E28" s="52"/>
      <c r="F28" s="58" t="str">
        <f>IFERROR(VLOOKUP(E28,日报!E:G,2,0),"")</f>
        <v/>
      </c>
      <c r="G28" s="52"/>
      <c r="H28" s="53" t="str">
        <f>IFERROR(VLOOKUP(E28,基础数据!$E$4:$H$4,4,0),"")</f>
        <v/>
      </c>
      <c r="I28" s="53" t="str">
        <f>IFERROR(VLOOKUP(E28,基础数据!$E$4:$H$4,3,0),"")</f>
        <v/>
      </c>
      <c r="J28" s="52"/>
      <c r="K28" s="54" t="str">
        <f t="shared" si="0"/>
        <v/>
      </c>
      <c r="T28" s="33"/>
      <c r="AD28" s="33"/>
      <c r="AN28" s="33"/>
      <c r="AX28" s="33"/>
      <c r="BH28" s="33"/>
      <c r="BR28" s="33"/>
      <c r="CB28" s="33"/>
      <c r="CL28" s="33"/>
      <c r="CV28" s="33"/>
      <c r="DF28" s="33"/>
      <c r="DP28" s="33"/>
      <c r="DZ28" s="33"/>
      <c r="EJ28" s="33"/>
      <c r="ET28" s="33"/>
      <c r="FD28" s="33"/>
      <c r="FN28" s="33"/>
      <c r="FX28" s="33"/>
      <c r="GH28" s="33"/>
      <c r="GR28" s="33"/>
      <c r="HB28" s="33"/>
      <c r="HL28" s="33"/>
      <c r="HV28" s="33"/>
      <c r="IF28" s="33"/>
      <c r="IP28" s="33"/>
      <c r="IZ28" s="33"/>
      <c r="JJ28" s="33"/>
      <c r="JT28" s="33"/>
      <c r="KD28" s="33"/>
      <c r="KN28" s="33"/>
      <c r="KX28" s="33"/>
      <c r="LH28" s="33"/>
      <c r="LR28" s="33"/>
      <c r="MB28" s="33"/>
      <c r="ML28" s="33"/>
      <c r="MV28" s="33"/>
      <c r="NF28" s="33"/>
      <c r="NP28" s="33"/>
      <c r="NZ28" s="33"/>
      <c r="OJ28" s="33"/>
      <c r="OT28" s="33"/>
      <c r="PD28" s="33"/>
      <c r="PN28" s="33"/>
      <c r="PX28" s="33"/>
      <c r="QH28" s="33"/>
      <c r="QR28" s="33"/>
      <c r="RB28" s="33"/>
      <c r="RL28" s="33"/>
      <c r="RV28" s="33"/>
      <c r="SF28" s="33"/>
      <c r="SP28" s="33"/>
      <c r="SZ28" s="33"/>
      <c r="TJ28" s="33"/>
      <c r="TT28" s="33"/>
      <c r="UD28" s="33"/>
      <c r="UN28" s="33"/>
      <c r="UX28" s="33"/>
      <c r="VH28" s="33"/>
      <c r="VR28" s="33"/>
      <c r="WB28" s="33"/>
      <c r="WL28" s="33"/>
      <c r="WV28" s="33"/>
      <c r="XF28" s="33"/>
      <c r="XP28" s="33"/>
      <c r="XZ28" s="33"/>
      <c r="YJ28" s="33"/>
      <c r="YT28" s="33"/>
      <c r="ZD28" s="33"/>
      <c r="ZN28" s="33"/>
      <c r="ZX28" s="33"/>
      <c r="AAH28" s="33"/>
      <c r="AAR28" s="33"/>
      <c r="ABB28" s="33"/>
      <c r="ABL28" s="33"/>
      <c r="ABV28" s="33"/>
      <c r="ACF28" s="33"/>
      <c r="ACP28" s="33"/>
      <c r="ACZ28" s="33"/>
      <c r="ADJ28" s="33"/>
      <c r="ADT28" s="33"/>
      <c r="AED28" s="33"/>
      <c r="AEN28" s="33"/>
      <c r="AEX28" s="33"/>
      <c r="AFH28" s="33"/>
      <c r="AFR28" s="33"/>
      <c r="AGB28" s="33"/>
      <c r="AGL28" s="33"/>
      <c r="AGV28" s="33"/>
      <c r="AHF28" s="33"/>
      <c r="AHP28" s="33"/>
      <c r="AHZ28" s="33"/>
      <c r="AIJ28" s="33"/>
      <c r="AIT28" s="33"/>
      <c r="AJD28" s="33"/>
      <c r="AJN28" s="33"/>
      <c r="AJX28" s="33"/>
      <c r="AKH28" s="33"/>
      <c r="AKR28" s="33"/>
      <c r="ALB28" s="33"/>
      <c r="ALL28" s="33"/>
      <c r="ALV28" s="33"/>
      <c r="AMF28" s="33"/>
      <c r="AMP28" s="33"/>
      <c r="AMZ28" s="33"/>
      <c r="ANJ28" s="33"/>
      <c r="ANT28" s="33"/>
      <c r="AOD28" s="33"/>
      <c r="AON28" s="33"/>
      <c r="AOX28" s="33"/>
      <c r="APH28" s="33"/>
      <c r="APR28" s="33"/>
      <c r="AQB28" s="33"/>
      <c r="AQL28" s="33"/>
      <c r="AQV28" s="33"/>
      <c r="ARF28" s="33"/>
      <c r="ARP28" s="33"/>
      <c r="ARZ28" s="33"/>
      <c r="ASJ28" s="33"/>
      <c r="AST28" s="33"/>
      <c r="ATD28" s="33"/>
      <c r="ATN28" s="33"/>
      <c r="ATX28" s="33"/>
      <c r="AUH28" s="33"/>
      <c r="AUR28" s="33"/>
      <c r="AVB28" s="33"/>
      <c r="AVL28" s="33"/>
      <c r="AVV28" s="33"/>
      <c r="AWF28" s="33"/>
      <c r="AWP28" s="33"/>
      <c r="AWZ28" s="33"/>
      <c r="AXJ28" s="33"/>
      <c r="AXT28" s="33"/>
      <c r="AYD28" s="33"/>
      <c r="AYN28" s="33"/>
      <c r="AYX28" s="33"/>
      <c r="AZH28" s="33"/>
      <c r="AZR28" s="33"/>
      <c r="BAB28" s="33"/>
      <c r="BAL28" s="33"/>
      <c r="BAV28" s="33"/>
      <c r="BBF28" s="33"/>
      <c r="BBP28" s="33"/>
      <c r="BBZ28" s="33"/>
      <c r="BCJ28" s="33"/>
      <c r="BCT28" s="33"/>
      <c r="BDD28" s="33"/>
      <c r="BDN28" s="33"/>
      <c r="BDX28" s="33"/>
      <c r="BEH28" s="33"/>
      <c r="BER28" s="33"/>
      <c r="BFB28" s="33"/>
      <c r="BFL28" s="33"/>
      <c r="BFV28" s="33"/>
      <c r="BGF28" s="33"/>
      <c r="BGP28" s="33"/>
      <c r="BGZ28" s="33"/>
      <c r="BHJ28" s="33"/>
      <c r="BHT28" s="33"/>
      <c r="BID28" s="33"/>
      <c r="BIN28" s="33"/>
      <c r="BIX28" s="33"/>
      <c r="BJH28" s="33"/>
      <c r="BJR28" s="33"/>
      <c r="BKB28" s="33"/>
      <c r="BKL28" s="33"/>
      <c r="BKV28" s="33"/>
      <c r="BLF28" s="33"/>
      <c r="BLP28" s="33"/>
      <c r="BLZ28" s="33"/>
      <c r="BMJ28" s="33"/>
      <c r="BMT28" s="33"/>
      <c r="BND28" s="33"/>
      <c r="BNN28" s="33"/>
      <c r="BNX28" s="33"/>
      <c r="BOH28" s="33"/>
      <c r="BOR28" s="33"/>
      <c r="BPB28" s="33"/>
      <c r="BPL28" s="33"/>
      <c r="BPV28" s="33"/>
      <c r="BQF28" s="33"/>
      <c r="BQP28" s="33"/>
      <c r="BQZ28" s="33"/>
      <c r="BRJ28" s="33"/>
      <c r="BRT28" s="33"/>
      <c r="BSD28" s="33"/>
      <c r="BSN28" s="33"/>
      <c r="BSX28" s="33"/>
      <c r="BTH28" s="33"/>
      <c r="BTR28" s="33"/>
      <c r="BUB28" s="33"/>
      <c r="BUL28" s="33"/>
      <c r="BUV28" s="33"/>
      <c r="BVF28" s="33"/>
      <c r="BVP28" s="33"/>
      <c r="BVZ28" s="33"/>
      <c r="BWJ28" s="33"/>
      <c r="BWT28" s="33"/>
      <c r="BXD28" s="33"/>
      <c r="BXN28" s="33"/>
      <c r="BXX28" s="33"/>
      <c r="BYH28" s="33"/>
      <c r="BYR28" s="33"/>
      <c r="BZB28" s="33"/>
      <c r="BZL28" s="33"/>
      <c r="BZV28" s="33"/>
      <c r="CAF28" s="33"/>
      <c r="CAP28" s="33"/>
      <c r="CAZ28" s="33"/>
      <c r="CBJ28" s="33"/>
      <c r="CBT28" s="33"/>
      <c r="CCD28" s="33"/>
      <c r="CCN28" s="33"/>
      <c r="CCX28" s="33"/>
      <c r="CDH28" s="33"/>
      <c r="CDR28" s="33"/>
      <c r="CEB28" s="33"/>
      <c r="CEL28" s="33"/>
      <c r="CEV28" s="33"/>
      <c r="CFF28" s="33"/>
      <c r="CFP28" s="33"/>
      <c r="CFZ28" s="33"/>
      <c r="CGJ28" s="33"/>
      <c r="CGT28" s="33"/>
      <c r="CHD28" s="33"/>
      <c r="CHN28" s="33"/>
      <c r="CHX28" s="33"/>
      <c r="CIH28" s="33"/>
      <c r="CIR28" s="33"/>
      <c r="CJB28" s="33"/>
      <c r="CJL28" s="33"/>
      <c r="CJV28" s="33"/>
      <c r="CKF28" s="33"/>
      <c r="CKP28" s="33"/>
      <c r="CKZ28" s="33"/>
      <c r="CLJ28" s="33"/>
      <c r="CLT28" s="33"/>
      <c r="CMD28" s="33"/>
      <c r="CMN28" s="33"/>
      <c r="CMX28" s="33"/>
      <c r="CNH28" s="33"/>
      <c r="CNR28" s="33"/>
      <c r="COB28" s="33"/>
      <c r="COL28" s="33"/>
      <c r="COV28" s="33"/>
      <c r="CPF28" s="33"/>
      <c r="CPP28" s="33"/>
      <c r="CPZ28" s="33"/>
      <c r="CQJ28" s="33"/>
      <c r="CQT28" s="33"/>
      <c r="CRD28" s="33"/>
      <c r="CRN28" s="33"/>
      <c r="CRX28" s="33"/>
      <c r="CSH28" s="33"/>
      <c r="CSR28" s="33"/>
      <c r="CTB28" s="33"/>
      <c r="CTL28" s="33"/>
      <c r="CTV28" s="33"/>
    </row>
    <row r="29" s="16" customFormat="1" customHeight="1" spans="1:1020 1030:2040 2050:2570">
      <c r="A29" s="57"/>
      <c r="B29" s="36"/>
      <c r="C29" s="8"/>
      <c r="D29" s="52"/>
      <c r="E29" s="52"/>
      <c r="F29" s="58" t="str">
        <f>IFERROR(VLOOKUP(E29,日报!E:G,2,0),"")</f>
        <v/>
      </c>
      <c r="G29" s="52"/>
      <c r="H29" s="53" t="str">
        <f>IFERROR(VLOOKUP(E29,基础数据!$E$4:$H$4,4,0),"")</f>
        <v/>
      </c>
      <c r="I29" s="53" t="str">
        <f>IFERROR(VLOOKUP(E29,基础数据!$E$4:$H$4,3,0),"")</f>
        <v/>
      </c>
      <c r="J29" s="52"/>
      <c r="K29" s="54" t="str">
        <f t="shared" si="0"/>
        <v/>
      </c>
      <c r="T29" s="33"/>
      <c r="AD29" s="33"/>
      <c r="AN29" s="33"/>
      <c r="AX29" s="33"/>
      <c r="BH29" s="33"/>
      <c r="BR29" s="33"/>
      <c r="CB29" s="33"/>
      <c r="CL29" s="33"/>
      <c r="CV29" s="33"/>
      <c r="DF29" s="33"/>
      <c r="DP29" s="33"/>
      <c r="DZ29" s="33"/>
      <c r="EJ29" s="33"/>
      <c r="ET29" s="33"/>
      <c r="FD29" s="33"/>
      <c r="FN29" s="33"/>
      <c r="FX29" s="33"/>
      <c r="GH29" s="33"/>
      <c r="GR29" s="33"/>
      <c r="HB29" s="33"/>
      <c r="HL29" s="33"/>
      <c r="HV29" s="33"/>
      <c r="IF29" s="33"/>
      <c r="IP29" s="33"/>
      <c r="IZ29" s="33"/>
      <c r="JJ29" s="33"/>
      <c r="JT29" s="33"/>
      <c r="KD29" s="33"/>
      <c r="KN29" s="33"/>
      <c r="KX29" s="33"/>
      <c r="LH29" s="33"/>
      <c r="LR29" s="33"/>
      <c r="MB29" s="33"/>
      <c r="ML29" s="33"/>
      <c r="MV29" s="33"/>
      <c r="NF29" s="33"/>
      <c r="NP29" s="33"/>
      <c r="NZ29" s="33"/>
      <c r="OJ29" s="33"/>
      <c r="OT29" s="33"/>
      <c r="PD29" s="33"/>
      <c r="PN29" s="33"/>
      <c r="PX29" s="33"/>
      <c r="QH29" s="33"/>
      <c r="QR29" s="33"/>
      <c r="RB29" s="33"/>
      <c r="RL29" s="33"/>
      <c r="RV29" s="33"/>
      <c r="SF29" s="33"/>
      <c r="SP29" s="33"/>
      <c r="SZ29" s="33"/>
      <c r="TJ29" s="33"/>
      <c r="TT29" s="33"/>
      <c r="UD29" s="33"/>
      <c r="UN29" s="33"/>
      <c r="UX29" s="33"/>
      <c r="VH29" s="33"/>
      <c r="VR29" s="33"/>
      <c r="WB29" s="33"/>
      <c r="WL29" s="33"/>
      <c r="WV29" s="33"/>
      <c r="XF29" s="33"/>
      <c r="XP29" s="33"/>
      <c r="XZ29" s="33"/>
      <c r="YJ29" s="33"/>
      <c r="YT29" s="33"/>
      <c r="ZD29" s="33"/>
      <c r="ZN29" s="33"/>
      <c r="ZX29" s="33"/>
      <c r="AAH29" s="33"/>
      <c r="AAR29" s="33"/>
      <c r="ABB29" s="33"/>
      <c r="ABL29" s="33"/>
      <c r="ABV29" s="33"/>
      <c r="ACF29" s="33"/>
      <c r="ACP29" s="33"/>
      <c r="ACZ29" s="33"/>
      <c r="ADJ29" s="33"/>
      <c r="ADT29" s="33"/>
      <c r="AED29" s="33"/>
      <c r="AEN29" s="33"/>
      <c r="AEX29" s="33"/>
      <c r="AFH29" s="33"/>
      <c r="AFR29" s="33"/>
      <c r="AGB29" s="33"/>
      <c r="AGL29" s="33"/>
      <c r="AGV29" s="33"/>
      <c r="AHF29" s="33"/>
      <c r="AHP29" s="33"/>
      <c r="AHZ29" s="33"/>
      <c r="AIJ29" s="33"/>
      <c r="AIT29" s="33"/>
      <c r="AJD29" s="33"/>
      <c r="AJN29" s="33"/>
      <c r="AJX29" s="33"/>
      <c r="AKH29" s="33"/>
      <c r="AKR29" s="33"/>
      <c r="ALB29" s="33"/>
      <c r="ALL29" s="33"/>
      <c r="ALV29" s="33"/>
      <c r="AMF29" s="33"/>
      <c r="AMP29" s="33"/>
      <c r="AMZ29" s="33"/>
      <c r="ANJ29" s="33"/>
      <c r="ANT29" s="33"/>
      <c r="AOD29" s="33"/>
      <c r="AON29" s="33"/>
      <c r="AOX29" s="33"/>
      <c r="APH29" s="33"/>
      <c r="APR29" s="33"/>
      <c r="AQB29" s="33"/>
      <c r="AQL29" s="33"/>
      <c r="AQV29" s="33"/>
      <c r="ARF29" s="33"/>
      <c r="ARP29" s="33"/>
      <c r="ARZ29" s="33"/>
      <c r="ASJ29" s="33"/>
      <c r="AST29" s="33"/>
      <c r="ATD29" s="33"/>
      <c r="ATN29" s="33"/>
      <c r="ATX29" s="33"/>
      <c r="AUH29" s="33"/>
      <c r="AUR29" s="33"/>
      <c r="AVB29" s="33"/>
      <c r="AVL29" s="33"/>
      <c r="AVV29" s="33"/>
      <c r="AWF29" s="33"/>
      <c r="AWP29" s="33"/>
      <c r="AWZ29" s="33"/>
      <c r="AXJ29" s="33"/>
      <c r="AXT29" s="33"/>
      <c r="AYD29" s="33"/>
      <c r="AYN29" s="33"/>
      <c r="AYX29" s="33"/>
      <c r="AZH29" s="33"/>
      <c r="AZR29" s="33"/>
      <c r="BAB29" s="33"/>
      <c r="BAL29" s="33"/>
      <c r="BAV29" s="33"/>
      <c r="BBF29" s="33"/>
      <c r="BBP29" s="33"/>
      <c r="BBZ29" s="33"/>
      <c r="BCJ29" s="33"/>
      <c r="BCT29" s="33"/>
      <c r="BDD29" s="33"/>
      <c r="BDN29" s="33"/>
      <c r="BDX29" s="33"/>
      <c r="BEH29" s="33"/>
      <c r="BER29" s="33"/>
      <c r="BFB29" s="33"/>
      <c r="BFL29" s="33"/>
      <c r="BFV29" s="33"/>
      <c r="BGF29" s="33"/>
      <c r="BGP29" s="33"/>
      <c r="BGZ29" s="33"/>
      <c r="BHJ29" s="33"/>
      <c r="BHT29" s="33"/>
      <c r="BID29" s="33"/>
      <c r="BIN29" s="33"/>
      <c r="BIX29" s="33"/>
      <c r="BJH29" s="33"/>
      <c r="BJR29" s="33"/>
      <c r="BKB29" s="33"/>
      <c r="BKL29" s="33"/>
      <c r="BKV29" s="33"/>
      <c r="BLF29" s="33"/>
      <c r="BLP29" s="33"/>
      <c r="BLZ29" s="33"/>
      <c r="BMJ29" s="33"/>
      <c r="BMT29" s="33"/>
      <c r="BND29" s="33"/>
      <c r="BNN29" s="33"/>
      <c r="BNX29" s="33"/>
      <c r="BOH29" s="33"/>
      <c r="BOR29" s="33"/>
      <c r="BPB29" s="33"/>
      <c r="BPL29" s="33"/>
      <c r="BPV29" s="33"/>
      <c r="BQF29" s="33"/>
      <c r="BQP29" s="33"/>
      <c r="BQZ29" s="33"/>
      <c r="BRJ29" s="33"/>
      <c r="BRT29" s="33"/>
      <c r="BSD29" s="33"/>
      <c r="BSN29" s="33"/>
      <c r="BSX29" s="33"/>
      <c r="BTH29" s="33"/>
      <c r="BTR29" s="33"/>
      <c r="BUB29" s="33"/>
      <c r="BUL29" s="33"/>
      <c r="BUV29" s="33"/>
      <c r="BVF29" s="33"/>
      <c r="BVP29" s="33"/>
      <c r="BVZ29" s="33"/>
      <c r="BWJ29" s="33"/>
      <c r="BWT29" s="33"/>
      <c r="BXD29" s="33"/>
      <c r="BXN29" s="33"/>
      <c r="BXX29" s="33"/>
      <c r="BYH29" s="33"/>
      <c r="BYR29" s="33"/>
      <c r="BZB29" s="33"/>
      <c r="BZL29" s="33"/>
      <c r="BZV29" s="33"/>
      <c r="CAF29" s="33"/>
      <c r="CAP29" s="33"/>
      <c r="CAZ29" s="33"/>
      <c r="CBJ29" s="33"/>
      <c r="CBT29" s="33"/>
      <c r="CCD29" s="33"/>
      <c r="CCN29" s="33"/>
      <c r="CCX29" s="33"/>
      <c r="CDH29" s="33"/>
      <c r="CDR29" s="33"/>
      <c r="CEB29" s="33"/>
      <c r="CEL29" s="33"/>
      <c r="CEV29" s="33"/>
      <c r="CFF29" s="33"/>
      <c r="CFP29" s="33"/>
      <c r="CFZ29" s="33"/>
      <c r="CGJ29" s="33"/>
      <c r="CGT29" s="33"/>
      <c r="CHD29" s="33"/>
      <c r="CHN29" s="33"/>
      <c r="CHX29" s="33"/>
      <c r="CIH29" s="33"/>
      <c r="CIR29" s="33"/>
      <c r="CJB29" s="33"/>
      <c r="CJL29" s="33"/>
      <c r="CJV29" s="33"/>
      <c r="CKF29" s="33"/>
      <c r="CKP29" s="33"/>
      <c r="CKZ29" s="33"/>
      <c r="CLJ29" s="33"/>
      <c r="CLT29" s="33"/>
      <c r="CMD29" s="33"/>
      <c r="CMN29" s="33"/>
      <c r="CMX29" s="33"/>
      <c r="CNH29" s="33"/>
      <c r="CNR29" s="33"/>
      <c r="COB29" s="33"/>
      <c r="COL29" s="33"/>
      <c r="COV29" s="33"/>
      <c r="CPF29" s="33"/>
      <c r="CPP29" s="33"/>
      <c r="CPZ29" s="33"/>
      <c r="CQJ29" s="33"/>
      <c r="CQT29" s="33"/>
      <c r="CRD29" s="33"/>
      <c r="CRN29" s="33"/>
      <c r="CRX29" s="33"/>
      <c r="CSH29" s="33"/>
      <c r="CSR29" s="33"/>
      <c r="CTB29" s="33"/>
      <c r="CTL29" s="33"/>
      <c r="CTV29" s="33"/>
    </row>
    <row r="30" s="16" customFormat="1" customHeight="1" spans="1:1020 1030:2040 2050:2570">
      <c r="A30" s="57"/>
      <c r="B30" s="36"/>
      <c r="C30" s="8"/>
      <c r="D30" s="52"/>
      <c r="E30" s="52"/>
      <c r="F30" s="58" t="str">
        <f>IFERROR(VLOOKUP(E30,日报!E:G,2,0),"")</f>
        <v/>
      </c>
      <c r="G30" s="52"/>
      <c r="H30" s="53" t="str">
        <f>IFERROR(VLOOKUP(E30,基础数据!$E$4:$H$4,4,0),"")</f>
        <v/>
      </c>
      <c r="I30" s="53" t="str">
        <f>IFERROR(VLOOKUP(E30,基础数据!$E$4:$H$4,3,0),"")</f>
        <v/>
      </c>
      <c r="J30" s="52"/>
      <c r="K30" s="54" t="str">
        <f t="shared" si="0"/>
        <v/>
      </c>
      <c r="T30" s="33"/>
      <c r="AD30" s="33"/>
      <c r="AN30" s="33"/>
      <c r="AX30" s="33"/>
      <c r="BH30" s="33"/>
      <c r="BR30" s="33"/>
      <c r="CB30" s="33"/>
      <c r="CL30" s="33"/>
      <c r="CV30" s="33"/>
      <c r="DF30" s="33"/>
      <c r="DP30" s="33"/>
      <c r="DZ30" s="33"/>
      <c r="EJ30" s="33"/>
      <c r="ET30" s="33"/>
      <c r="FD30" s="33"/>
      <c r="FN30" s="33"/>
      <c r="FX30" s="33"/>
      <c r="GH30" s="33"/>
      <c r="GR30" s="33"/>
      <c r="HB30" s="33"/>
      <c r="HL30" s="33"/>
      <c r="HV30" s="33"/>
      <c r="IF30" s="33"/>
      <c r="IP30" s="33"/>
      <c r="IZ30" s="33"/>
      <c r="JJ30" s="33"/>
      <c r="JT30" s="33"/>
      <c r="KD30" s="33"/>
      <c r="KN30" s="33"/>
      <c r="KX30" s="33"/>
      <c r="LH30" s="33"/>
      <c r="LR30" s="33"/>
      <c r="MB30" s="33"/>
      <c r="ML30" s="33"/>
      <c r="MV30" s="33"/>
      <c r="NF30" s="33"/>
      <c r="NP30" s="33"/>
      <c r="NZ30" s="33"/>
      <c r="OJ30" s="33"/>
      <c r="OT30" s="33"/>
      <c r="PD30" s="33"/>
      <c r="PN30" s="33"/>
      <c r="PX30" s="33"/>
      <c r="QH30" s="33"/>
      <c r="QR30" s="33"/>
      <c r="RB30" s="33"/>
      <c r="RL30" s="33"/>
      <c r="RV30" s="33"/>
      <c r="SF30" s="33"/>
      <c r="SP30" s="33"/>
      <c r="SZ30" s="33"/>
      <c r="TJ30" s="33"/>
      <c r="TT30" s="33"/>
      <c r="UD30" s="33"/>
      <c r="UN30" s="33"/>
      <c r="UX30" s="33"/>
      <c r="VH30" s="33"/>
      <c r="VR30" s="33"/>
      <c r="WB30" s="33"/>
      <c r="WL30" s="33"/>
      <c r="WV30" s="33"/>
      <c r="XF30" s="33"/>
      <c r="XP30" s="33"/>
      <c r="XZ30" s="33"/>
      <c r="YJ30" s="33"/>
      <c r="YT30" s="33"/>
      <c r="ZD30" s="33"/>
      <c r="ZN30" s="33"/>
      <c r="ZX30" s="33"/>
      <c r="AAH30" s="33"/>
      <c r="AAR30" s="33"/>
      <c r="ABB30" s="33"/>
      <c r="ABL30" s="33"/>
      <c r="ABV30" s="33"/>
      <c r="ACF30" s="33"/>
      <c r="ACP30" s="33"/>
      <c r="ACZ30" s="33"/>
      <c r="ADJ30" s="33"/>
      <c r="ADT30" s="33"/>
      <c r="AED30" s="33"/>
      <c r="AEN30" s="33"/>
      <c r="AEX30" s="33"/>
      <c r="AFH30" s="33"/>
      <c r="AFR30" s="33"/>
      <c r="AGB30" s="33"/>
      <c r="AGL30" s="33"/>
      <c r="AGV30" s="33"/>
      <c r="AHF30" s="33"/>
      <c r="AHP30" s="33"/>
      <c r="AHZ30" s="33"/>
      <c r="AIJ30" s="33"/>
      <c r="AIT30" s="33"/>
      <c r="AJD30" s="33"/>
      <c r="AJN30" s="33"/>
      <c r="AJX30" s="33"/>
      <c r="AKH30" s="33"/>
      <c r="AKR30" s="33"/>
      <c r="ALB30" s="33"/>
      <c r="ALL30" s="33"/>
      <c r="ALV30" s="33"/>
      <c r="AMF30" s="33"/>
      <c r="AMP30" s="33"/>
      <c r="AMZ30" s="33"/>
      <c r="ANJ30" s="33"/>
      <c r="ANT30" s="33"/>
      <c r="AOD30" s="33"/>
      <c r="AON30" s="33"/>
      <c r="AOX30" s="33"/>
      <c r="APH30" s="33"/>
      <c r="APR30" s="33"/>
      <c r="AQB30" s="33"/>
      <c r="AQL30" s="33"/>
      <c r="AQV30" s="33"/>
      <c r="ARF30" s="33"/>
      <c r="ARP30" s="33"/>
      <c r="ARZ30" s="33"/>
      <c r="ASJ30" s="33"/>
      <c r="AST30" s="33"/>
      <c r="ATD30" s="33"/>
      <c r="ATN30" s="33"/>
      <c r="ATX30" s="33"/>
      <c r="AUH30" s="33"/>
      <c r="AUR30" s="33"/>
      <c r="AVB30" s="33"/>
      <c r="AVL30" s="33"/>
      <c r="AVV30" s="33"/>
      <c r="AWF30" s="33"/>
      <c r="AWP30" s="33"/>
      <c r="AWZ30" s="33"/>
      <c r="AXJ30" s="33"/>
      <c r="AXT30" s="33"/>
      <c r="AYD30" s="33"/>
      <c r="AYN30" s="33"/>
      <c r="AYX30" s="33"/>
      <c r="AZH30" s="33"/>
      <c r="AZR30" s="33"/>
      <c r="BAB30" s="33"/>
      <c r="BAL30" s="33"/>
      <c r="BAV30" s="33"/>
      <c r="BBF30" s="33"/>
      <c r="BBP30" s="33"/>
      <c r="BBZ30" s="33"/>
      <c r="BCJ30" s="33"/>
      <c r="BCT30" s="33"/>
      <c r="BDD30" s="33"/>
      <c r="BDN30" s="33"/>
      <c r="BDX30" s="33"/>
      <c r="BEH30" s="33"/>
      <c r="BER30" s="33"/>
      <c r="BFB30" s="33"/>
      <c r="BFL30" s="33"/>
      <c r="BFV30" s="33"/>
      <c r="BGF30" s="33"/>
      <c r="BGP30" s="33"/>
      <c r="BGZ30" s="33"/>
      <c r="BHJ30" s="33"/>
      <c r="BHT30" s="33"/>
      <c r="BID30" s="33"/>
      <c r="BIN30" s="33"/>
      <c r="BIX30" s="33"/>
      <c r="BJH30" s="33"/>
      <c r="BJR30" s="33"/>
      <c r="BKB30" s="33"/>
      <c r="BKL30" s="33"/>
      <c r="BKV30" s="33"/>
      <c r="BLF30" s="33"/>
      <c r="BLP30" s="33"/>
      <c r="BLZ30" s="33"/>
      <c r="BMJ30" s="33"/>
      <c r="BMT30" s="33"/>
      <c r="BND30" s="33"/>
      <c r="BNN30" s="33"/>
      <c r="BNX30" s="33"/>
      <c r="BOH30" s="33"/>
      <c r="BOR30" s="33"/>
      <c r="BPB30" s="33"/>
      <c r="BPL30" s="33"/>
      <c r="BPV30" s="33"/>
      <c r="BQF30" s="33"/>
      <c r="BQP30" s="33"/>
      <c r="BQZ30" s="33"/>
      <c r="BRJ30" s="33"/>
      <c r="BRT30" s="33"/>
      <c r="BSD30" s="33"/>
      <c r="BSN30" s="33"/>
      <c r="BSX30" s="33"/>
      <c r="BTH30" s="33"/>
      <c r="BTR30" s="33"/>
      <c r="BUB30" s="33"/>
      <c r="BUL30" s="33"/>
      <c r="BUV30" s="33"/>
      <c r="BVF30" s="33"/>
      <c r="BVP30" s="33"/>
      <c r="BVZ30" s="33"/>
      <c r="BWJ30" s="33"/>
      <c r="BWT30" s="33"/>
      <c r="BXD30" s="33"/>
      <c r="BXN30" s="33"/>
      <c r="BXX30" s="33"/>
      <c r="BYH30" s="33"/>
      <c r="BYR30" s="33"/>
      <c r="BZB30" s="33"/>
      <c r="BZL30" s="33"/>
      <c r="BZV30" s="33"/>
      <c r="CAF30" s="33"/>
      <c r="CAP30" s="33"/>
      <c r="CAZ30" s="33"/>
      <c r="CBJ30" s="33"/>
      <c r="CBT30" s="33"/>
      <c r="CCD30" s="33"/>
      <c r="CCN30" s="33"/>
      <c r="CCX30" s="33"/>
      <c r="CDH30" s="33"/>
      <c r="CDR30" s="33"/>
      <c r="CEB30" s="33"/>
      <c r="CEL30" s="33"/>
      <c r="CEV30" s="33"/>
      <c r="CFF30" s="33"/>
      <c r="CFP30" s="33"/>
      <c r="CFZ30" s="33"/>
      <c r="CGJ30" s="33"/>
      <c r="CGT30" s="33"/>
      <c r="CHD30" s="33"/>
      <c r="CHN30" s="33"/>
      <c r="CHX30" s="33"/>
      <c r="CIH30" s="33"/>
      <c r="CIR30" s="33"/>
      <c r="CJB30" s="33"/>
      <c r="CJL30" s="33"/>
      <c r="CJV30" s="33"/>
      <c r="CKF30" s="33"/>
      <c r="CKP30" s="33"/>
      <c r="CKZ30" s="33"/>
      <c r="CLJ30" s="33"/>
      <c r="CLT30" s="33"/>
      <c r="CMD30" s="33"/>
      <c r="CMN30" s="33"/>
      <c r="CMX30" s="33"/>
      <c r="CNH30" s="33"/>
      <c r="CNR30" s="33"/>
      <c r="COB30" s="33"/>
      <c r="COL30" s="33"/>
      <c r="COV30" s="33"/>
      <c r="CPF30" s="33"/>
      <c r="CPP30" s="33"/>
      <c r="CPZ30" s="33"/>
      <c r="CQJ30" s="33"/>
      <c r="CQT30" s="33"/>
      <c r="CRD30" s="33"/>
      <c r="CRN30" s="33"/>
      <c r="CRX30" s="33"/>
      <c r="CSH30" s="33"/>
      <c r="CSR30" s="33"/>
      <c r="CTB30" s="33"/>
      <c r="CTL30" s="33"/>
      <c r="CTV30" s="33"/>
    </row>
    <row r="31" s="16" customFormat="1" customHeight="1" spans="1:1020 1030:2040 2050:2570">
      <c r="A31" s="57"/>
      <c r="B31" s="36"/>
      <c r="C31" s="8"/>
      <c r="D31" s="52"/>
      <c r="E31" s="52"/>
      <c r="F31" s="58" t="str">
        <f>IFERROR(VLOOKUP(E31,日报!E:G,2,0),"")</f>
        <v/>
      </c>
      <c r="G31" s="52"/>
      <c r="H31" s="53" t="str">
        <f>IFERROR(VLOOKUP(E31,基础数据!$E$4:$H$4,4,0),"")</f>
        <v/>
      </c>
      <c r="I31" s="53" t="str">
        <f>IFERROR(VLOOKUP(E31,基础数据!$E$4:$H$4,3,0),"")</f>
        <v/>
      </c>
      <c r="J31" s="52"/>
      <c r="K31" s="54" t="str">
        <f t="shared" si="0"/>
        <v/>
      </c>
      <c r="T31" s="33"/>
      <c r="AD31" s="33"/>
      <c r="AN31" s="33"/>
      <c r="AX31" s="33"/>
      <c r="BH31" s="33"/>
      <c r="BR31" s="33"/>
      <c r="CB31" s="33"/>
      <c r="CL31" s="33"/>
      <c r="CV31" s="33"/>
      <c r="DF31" s="33"/>
      <c r="DP31" s="33"/>
      <c r="DZ31" s="33"/>
      <c r="EJ31" s="33"/>
      <c r="ET31" s="33"/>
      <c r="FD31" s="33"/>
      <c r="FN31" s="33"/>
      <c r="FX31" s="33"/>
      <c r="GH31" s="33"/>
      <c r="GR31" s="33"/>
      <c r="HB31" s="33"/>
      <c r="HL31" s="33"/>
      <c r="HV31" s="33"/>
      <c r="IF31" s="33"/>
      <c r="IP31" s="33"/>
      <c r="IZ31" s="33"/>
      <c r="JJ31" s="33"/>
      <c r="JT31" s="33"/>
      <c r="KD31" s="33"/>
      <c r="KN31" s="33"/>
      <c r="KX31" s="33"/>
      <c r="LH31" s="33"/>
      <c r="LR31" s="33"/>
      <c r="MB31" s="33"/>
      <c r="ML31" s="33"/>
      <c r="MV31" s="33"/>
      <c r="NF31" s="33"/>
      <c r="NP31" s="33"/>
      <c r="NZ31" s="33"/>
      <c r="OJ31" s="33"/>
      <c r="OT31" s="33"/>
      <c r="PD31" s="33"/>
      <c r="PN31" s="33"/>
      <c r="PX31" s="33"/>
      <c r="QH31" s="33"/>
      <c r="QR31" s="33"/>
      <c r="RB31" s="33"/>
      <c r="RL31" s="33"/>
      <c r="RV31" s="33"/>
      <c r="SF31" s="33"/>
      <c r="SP31" s="33"/>
      <c r="SZ31" s="33"/>
      <c r="TJ31" s="33"/>
      <c r="TT31" s="33"/>
      <c r="UD31" s="33"/>
      <c r="UN31" s="33"/>
      <c r="UX31" s="33"/>
      <c r="VH31" s="33"/>
      <c r="VR31" s="33"/>
      <c r="WB31" s="33"/>
      <c r="WL31" s="33"/>
      <c r="WV31" s="33"/>
      <c r="XF31" s="33"/>
      <c r="XP31" s="33"/>
      <c r="XZ31" s="33"/>
      <c r="YJ31" s="33"/>
      <c r="YT31" s="33"/>
      <c r="ZD31" s="33"/>
      <c r="ZN31" s="33"/>
      <c r="ZX31" s="33"/>
      <c r="AAH31" s="33"/>
      <c r="AAR31" s="33"/>
      <c r="ABB31" s="33"/>
      <c r="ABL31" s="33"/>
      <c r="ABV31" s="33"/>
      <c r="ACF31" s="33"/>
      <c r="ACP31" s="33"/>
      <c r="ACZ31" s="33"/>
      <c r="ADJ31" s="33"/>
      <c r="ADT31" s="33"/>
      <c r="AED31" s="33"/>
      <c r="AEN31" s="33"/>
      <c r="AEX31" s="33"/>
      <c r="AFH31" s="33"/>
      <c r="AFR31" s="33"/>
      <c r="AGB31" s="33"/>
      <c r="AGL31" s="33"/>
      <c r="AGV31" s="33"/>
      <c r="AHF31" s="33"/>
      <c r="AHP31" s="33"/>
      <c r="AHZ31" s="33"/>
      <c r="AIJ31" s="33"/>
      <c r="AIT31" s="33"/>
      <c r="AJD31" s="33"/>
      <c r="AJN31" s="33"/>
      <c r="AJX31" s="33"/>
      <c r="AKH31" s="33"/>
      <c r="AKR31" s="33"/>
      <c r="ALB31" s="33"/>
      <c r="ALL31" s="33"/>
      <c r="ALV31" s="33"/>
      <c r="AMF31" s="33"/>
      <c r="AMP31" s="33"/>
      <c r="AMZ31" s="33"/>
      <c r="ANJ31" s="33"/>
      <c r="ANT31" s="33"/>
      <c r="AOD31" s="33"/>
      <c r="AON31" s="33"/>
      <c r="AOX31" s="33"/>
      <c r="APH31" s="33"/>
      <c r="APR31" s="33"/>
      <c r="AQB31" s="33"/>
      <c r="AQL31" s="33"/>
      <c r="AQV31" s="33"/>
      <c r="ARF31" s="33"/>
      <c r="ARP31" s="33"/>
      <c r="ARZ31" s="33"/>
      <c r="ASJ31" s="33"/>
      <c r="AST31" s="33"/>
      <c r="ATD31" s="33"/>
      <c r="ATN31" s="33"/>
      <c r="ATX31" s="33"/>
      <c r="AUH31" s="33"/>
      <c r="AUR31" s="33"/>
      <c r="AVB31" s="33"/>
      <c r="AVL31" s="33"/>
      <c r="AVV31" s="33"/>
      <c r="AWF31" s="33"/>
      <c r="AWP31" s="33"/>
      <c r="AWZ31" s="33"/>
      <c r="AXJ31" s="33"/>
      <c r="AXT31" s="33"/>
      <c r="AYD31" s="33"/>
      <c r="AYN31" s="33"/>
      <c r="AYX31" s="33"/>
      <c r="AZH31" s="33"/>
      <c r="AZR31" s="33"/>
      <c r="BAB31" s="33"/>
      <c r="BAL31" s="33"/>
      <c r="BAV31" s="33"/>
      <c r="BBF31" s="33"/>
      <c r="BBP31" s="33"/>
      <c r="BBZ31" s="33"/>
      <c r="BCJ31" s="33"/>
      <c r="BCT31" s="33"/>
      <c r="BDD31" s="33"/>
      <c r="BDN31" s="33"/>
      <c r="BDX31" s="33"/>
      <c r="BEH31" s="33"/>
      <c r="BER31" s="33"/>
      <c r="BFB31" s="33"/>
      <c r="BFL31" s="33"/>
      <c r="BFV31" s="33"/>
      <c r="BGF31" s="33"/>
      <c r="BGP31" s="33"/>
      <c r="BGZ31" s="33"/>
      <c r="BHJ31" s="33"/>
      <c r="BHT31" s="33"/>
      <c r="BID31" s="33"/>
      <c r="BIN31" s="33"/>
      <c r="BIX31" s="33"/>
      <c r="BJH31" s="33"/>
      <c r="BJR31" s="33"/>
      <c r="BKB31" s="33"/>
      <c r="BKL31" s="33"/>
      <c r="BKV31" s="33"/>
      <c r="BLF31" s="33"/>
      <c r="BLP31" s="33"/>
      <c r="BLZ31" s="33"/>
      <c r="BMJ31" s="33"/>
      <c r="BMT31" s="33"/>
      <c r="BND31" s="33"/>
      <c r="BNN31" s="33"/>
      <c r="BNX31" s="33"/>
      <c r="BOH31" s="33"/>
      <c r="BOR31" s="33"/>
      <c r="BPB31" s="33"/>
      <c r="BPL31" s="33"/>
      <c r="BPV31" s="33"/>
      <c r="BQF31" s="33"/>
      <c r="BQP31" s="33"/>
      <c r="BQZ31" s="33"/>
      <c r="BRJ31" s="33"/>
      <c r="BRT31" s="33"/>
      <c r="BSD31" s="33"/>
      <c r="BSN31" s="33"/>
      <c r="BSX31" s="33"/>
      <c r="BTH31" s="33"/>
      <c r="BTR31" s="33"/>
      <c r="BUB31" s="33"/>
      <c r="BUL31" s="33"/>
      <c r="BUV31" s="33"/>
      <c r="BVF31" s="33"/>
      <c r="BVP31" s="33"/>
      <c r="BVZ31" s="33"/>
      <c r="BWJ31" s="33"/>
      <c r="BWT31" s="33"/>
      <c r="BXD31" s="33"/>
      <c r="BXN31" s="33"/>
      <c r="BXX31" s="33"/>
      <c r="BYH31" s="33"/>
      <c r="BYR31" s="33"/>
      <c r="BZB31" s="33"/>
      <c r="BZL31" s="33"/>
      <c r="BZV31" s="33"/>
      <c r="CAF31" s="33"/>
      <c r="CAP31" s="33"/>
      <c r="CAZ31" s="33"/>
      <c r="CBJ31" s="33"/>
      <c r="CBT31" s="33"/>
      <c r="CCD31" s="33"/>
      <c r="CCN31" s="33"/>
      <c r="CCX31" s="33"/>
      <c r="CDH31" s="33"/>
      <c r="CDR31" s="33"/>
      <c r="CEB31" s="33"/>
      <c r="CEL31" s="33"/>
      <c r="CEV31" s="33"/>
      <c r="CFF31" s="33"/>
      <c r="CFP31" s="33"/>
      <c r="CFZ31" s="33"/>
      <c r="CGJ31" s="33"/>
      <c r="CGT31" s="33"/>
      <c r="CHD31" s="33"/>
      <c r="CHN31" s="33"/>
      <c r="CHX31" s="33"/>
      <c r="CIH31" s="33"/>
      <c r="CIR31" s="33"/>
      <c r="CJB31" s="33"/>
      <c r="CJL31" s="33"/>
      <c r="CJV31" s="33"/>
      <c r="CKF31" s="33"/>
      <c r="CKP31" s="33"/>
      <c r="CKZ31" s="33"/>
      <c r="CLJ31" s="33"/>
      <c r="CLT31" s="33"/>
      <c r="CMD31" s="33"/>
      <c r="CMN31" s="33"/>
      <c r="CMX31" s="33"/>
      <c r="CNH31" s="33"/>
      <c r="CNR31" s="33"/>
      <c r="COB31" s="33"/>
      <c r="COL31" s="33"/>
      <c r="COV31" s="33"/>
      <c r="CPF31" s="33"/>
      <c r="CPP31" s="33"/>
      <c r="CPZ31" s="33"/>
      <c r="CQJ31" s="33"/>
      <c r="CQT31" s="33"/>
      <c r="CRD31" s="33"/>
      <c r="CRN31" s="33"/>
      <c r="CRX31" s="33"/>
      <c r="CSH31" s="33"/>
      <c r="CSR31" s="33"/>
      <c r="CTB31" s="33"/>
      <c r="CTL31" s="33"/>
      <c r="CTV31" s="33"/>
    </row>
    <row r="32" s="16" customFormat="1" customHeight="1" spans="1:1020 1030:2040 2050:2570">
      <c r="A32" s="57"/>
      <c r="B32" s="36"/>
      <c r="C32" s="8"/>
      <c r="D32" s="52"/>
      <c r="E32" s="52"/>
      <c r="F32" s="58" t="str">
        <f>IFERROR(VLOOKUP(E32,日报!E:G,2,0),"")</f>
        <v/>
      </c>
      <c r="G32" s="52"/>
      <c r="H32" s="53" t="str">
        <f>IFERROR(VLOOKUP(E32,基础数据!$E$4:$H$4,4,0),"")</f>
        <v/>
      </c>
      <c r="I32" s="53" t="str">
        <f>IFERROR(VLOOKUP(E32,基础数据!$E$4:$H$4,3,0),"")</f>
        <v/>
      </c>
      <c r="J32" s="52"/>
      <c r="K32" s="54" t="str">
        <f t="shared" si="0"/>
        <v/>
      </c>
      <c r="T32" s="33"/>
      <c r="AD32" s="33"/>
      <c r="AN32" s="33"/>
      <c r="AX32" s="33"/>
      <c r="BH32" s="33"/>
      <c r="BR32" s="33"/>
      <c r="CB32" s="33"/>
      <c r="CL32" s="33"/>
      <c r="CV32" s="33"/>
      <c r="DF32" s="33"/>
      <c r="DP32" s="33"/>
      <c r="DZ32" s="33"/>
      <c r="EJ32" s="33"/>
      <c r="ET32" s="33"/>
      <c r="FD32" s="33"/>
      <c r="FN32" s="33"/>
      <c r="FX32" s="33"/>
      <c r="GH32" s="33"/>
      <c r="GR32" s="33"/>
      <c r="HB32" s="33"/>
      <c r="HL32" s="33"/>
      <c r="HV32" s="33"/>
      <c r="IF32" s="33"/>
      <c r="IP32" s="33"/>
      <c r="IZ32" s="33"/>
      <c r="JJ32" s="33"/>
      <c r="JT32" s="33"/>
      <c r="KD32" s="33"/>
      <c r="KN32" s="33"/>
      <c r="KX32" s="33"/>
      <c r="LH32" s="33"/>
      <c r="LR32" s="33"/>
      <c r="MB32" s="33"/>
      <c r="ML32" s="33"/>
      <c r="MV32" s="33"/>
      <c r="NF32" s="33"/>
      <c r="NP32" s="33"/>
      <c r="NZ32" s="33"/>
      <c r="OJ32" s="33"/>
      <c r="OT32" s="33"/>
      <c r="PD32" s="33"/>
      <c r="PN32" s="33"/>
      <c r="PX32" s="33"/>
      <c r="QH32" s="33"/>
      <c r="QR32" s="33"/>
      <c r="RB32" s="33"/>
      <c r="RL32" s="33"/>
      <c r="RV32" s="33"/>
      <c r="SF32" s="33"/>
      <c r="SP32" s="33"/>
      <c r="SZ32" s="33"/>
      <c r="TJ32" s="33"/>
      <c r="TT32" s="33"/>
      <c r="UD32" s="33"/>
      <c r="UN32" s="33"/>
      <c r="UX32" s="33"/>
      <c r="VH32" s="33"/>
      <c r="VR32" s="33"/>
      <c r="WB32" s="33"/>
      <c r="WL32" s="33"/>
      <c r="WV32" s="33"/>
      <c r="XF32" s="33"/>
      <c r="XP32" s="33"/>
      <c r="XZ32" s="33"/>
      <c r="YJ32" s="33"/>
      <c r="YT32" s="33"/>
      <c r="ZD32" s="33"/>
      <c r="ZN32" s="33"/>
      <c r="ZX32" s="33"/>
      <c r="AAH32" s="33"/>
      <c r="AAR32" s="33"/>
      <c r="ABB32" s="33"/>
      <c r="ABL32" s="33"/>
      <c r="ABV32" s="33"/>
      <c r="ACF32" s="33"/>
      <c r="ACP32" s="33"/>
      <c r="ACZ32" s="33"/>
      <c r="ADJ32" s="33"/>
      <c r="ADT32" s="33"/>
      <c r="AED32" s="33"/>
      <c r="AEN32" s="33"/>
      <c r="AEX32" s="33"/>
      <c r="AFH32" s="33"/>
      <c r="AFR32" s="33"/>
      <c r="AGB32" s="33"/>
      <c r="AGL32" s="33"/>
      <c r="AGV32" s="33"/>
      <c r="AHF32" s="33"/>
      <c r="AHP32" s="33"/>
      <c r="AHZ32" s="33"/>
      <c r="AIJ32" s="33"/>
      <c r="AIT32" s="33"/>
      <c r="AJD32" s="33"/>
      <c r="AJN32" s="33"/>
      <c r="AJX32" s="33"/>
      <c r="AKH32" s="33"/>
      <c r="AKR32" s="33"/>
      <c r="ALB32" s="33"/>
      <c r="ALL32" s="33"/>
      <c r="ALV32" s="33"/>
      <c r="AMF32" s="33"/>
      <c r="AMP32" s="33"/>
      <c r="AMZ32" s="33"/>
      <c r="ANJ32" s="33"/>
      <c r="ANT32" s="33"/>
      <c r="AOD32" s="33"/>
      <c r="AON32" s="33"/>
      <c r="AOX32" s="33"/>
      <c r="APH32" s="33"/>
      <c r="APR32" s="33"/>
      <c r="AQB32" s="33"/>
      <c r="AQL32" s="33"/>
      <c r="AQV32" s="33"/>
      <c r="ARF32" s="33"/>
      <c r="ARP32" s="33"/>
      <c r="ARZ32" s="33"/>
      <c r="ASJ32" s="33"/>
      <c r="AST32" s="33"/>
      <c r="ATD32" s="33"/>
      <c r="ATN32" s="33"/>
      <c r="ATX32" s="33"/>
      <c r="AUH32" s="33"/>
      <c r="AUR32" s="33"/>
      <c r="AVB32" s="33"/>
      <c r="AVL32" s="33"/>
      <c r="AVV32" s="33"/>
      <c r="AWF32" s="33"/>
      <c r="AWP32" s="33"/>
      <c r="AWZ32" s="33"/>
      <c r="AXJ32" s="33"/>
      <c r="AXT32" s="33"/>
      <c r="AYD32" s="33"/>
      <c r="AYN32" s="33"/>
      <c r="AYX32" s="33"/>
      <c r="AZH32" s="33"/>
      <c r="AZR32" s="33"/>
      <c r="BAB32" s="33"/>
      <c r="BAL32" s="33"/>
      <c r="BAV32" s="33"/>
      <c r="BBF32" s="33"/>
      <c r="BBP32" s="33"/>
      <c r="BBZ32" s="33"/>
      <c r="BCJ32" s="33"/>
      <c r="BCT32" s="33"/>
      <c r="BDD32" s="33"/>
      <c r="BDN32" s="33"/>
      <c r="BDX32" s="33"/>
      <c r="BEH32" s="33"/>
      <c r="BER32" s="33"/>
      <c r="BFB32" s="33"/>
      <c r="BFL32" s="33"/>
      <c r="BFV32" s="33"/>
      <c r="BGF32" s="33"/>
      <c r="BGP32" s="33"/>
      <c r="BGZ32" s="33"/>
      <c r="BHJ32" s="33"/>
      <c r="BHT32" s="33"/>
      <c r="BID32" s="33"/>
      <c r="BIN32" s="33"/>
      <c r="BIX32" s="33"/>
      <c r="BJH32" s="33"/>
      <c r="BJR32" s="33"/>
      <c r="BKB32" s="33"/>
      <c r="BKL32" s="33"/>
      <c r="BKV32" s="33"/>
      <c r="BLF32" s="33"/>
      <c r="BLP32" s="33"/>
      <c r="BLZ32" s="33"/>
      <c r="BMJ32" s="33"/>
      <c r="BMT32" s="33"/>
      <c r="BND32" s="33"/>
      <c r="BNN32" s="33"/>
      <c r="BNX32" s="33"/>
      <c r="BOH32" s="33"/>
      <c r="BOR32" s="33"/>
      <c r="BPB32" s="33"/>
      <c r="BPL32" s="33"/>
      <c r="BPV32" s="33"/>
      <c r="BQF32" s="33"/>
      <c r="BQP32" s="33"/>
      <c r="BQZ32" s="33"/>
      <c r="BRJ32" s="33"/>
      <c r="BRT32" s="33"/>
      <c r="BSD32" s="33"/>
      <c r="BSN32" s="33"/>
      <c r="BSX32" s="33"/>
      <c r="BTH32" s="33"/>
      <c r="BTR32" s="33"/>
      <c r="BUB32" s="33"/>
      <c r="BUL32" s="33"/>
      <c r="BUV32" s="33"/>
      <c r="BVF32" s="33"/>
      <c r="BVP32" s="33"/>
      <c r="BVZ32" s="33"/>
      <c r="BWJ32" s="33"/>
      <c r="BWT32" s="33"/>
      <c r="BXD32" s="33"/>
      <c r="BXN32" s="33"/>
      <c r="BXX32" s="33"/>
      <c r="BYH32" s="33"/>
      <c r="BYR32" s="33"/>
      <c r="BZB32" s="33"/>
      <c r="BZL32" s="33"/>
      <c r="BZV32" s="33"/>
      <c r="CAF32" s="33"/>
      <c r="CAP32" s="33"/>
      <c r="CAZ32" s="33"/>
      <c r="CBJ32" s="33"/>
      <c r="CBT32" s="33"/>
      <c r="CCD32" s="33"/>
      <c r="CCN32" s="33"/>
      <c r="CCX32" s="33"/>
      <c r="CDH32" s="33"/>
      <c r="CDR32" s="33"/>
      <c r="CEB32" s="33"/>
      <c r="CEL32" s="33"/>
      <c r="CEV32" s="33"/>
      <c r="CFF32" s="33"/>
      <c r="CFP32" s="33"/>
      <c r="CFZ32" s="33"/>
      <c r="CGJ32" s="33"/>
      <c r="CGT32" s="33"/>
      <c r="CHD32" s="33"/>
      <c r="CHN32" s="33"/>
      <c r="CHX32" s="33"/>
      <c r="CIH32" s="33"/>
      <c r="CIR32" s="33"/>
      <c r="CJB32" s="33"/>
      <c r="CJL32" s="33"/>
      <c r="CJV32" s="33"/>
      <c r="CKF32" s="33"/>
      <c r="CKP32" s="33"/>
      <c r="CKZ32" s="33"/>
      <c r="CLJ32" s="33"/>
      <c r="CLT32" s="33"/>
      <c r="CMD32" s="33"/>
      <c r="CMN32" s="33"/>
      <c r="CMX32" s="33"/>
      <c r="CNH32" s="33"/>
      <c r="CNR32" s="33"/>
      <c r="COB32" s="33"/>
      <c r="COL32" s="33"/>
      <c r="COV32" s="33"/>
      <c r="CPF32" s="33"/>
      <c r="CPP32" s="33"/>
      <c r="CPZ32" s="33"/>
      <c r="CQJ32" s="33"/>
      <c r="CQT32" s="33"/>
      <c r="CRD32" s="33"/>
      <c r="CRN32" s="33"/>
      <c r="CRX32" s="33"/>
      <c r="CSH32" s="33"/>
      <c r="CSR32" s="33"/>
      <c r="CTB32" s="33"/>
      <c r="CTL32" s="33"/>
      <c r="CTV32" s="33"/>
    </row>
    <row r="33" s="16" customFormat="1" customHeight="1" spans="1:1020 1030:2040 2050:2570">
      <c r="A33" s="57"/>
      <c r="B33" s="36"/>
      <c r="C33" s="8"/>
      <c r="D33" s="52"/>
      <c r="E33" s="52"/>
      <c r="F33" s="58" t="str">
        <f>IFERROR(VLOOKUP(E33,日报!E:G,2,0),"")</f>
        <v/>
      </c>
      <c r="G33" s="52"/>
      <c r="H33" s="53" t="str">
        <f>IFERROR(VLOOKUP(E33,基础数据!$E$4:$H$4,4,0),"")</f>
        <v/>
      </c>
      <c r="I33" s="53" t="str">
        <f>IFERROR(VLOOKUP(E33,基础数据!$E$4:$H$4,3,0),"")</f>
        <v/>
      </c>
      <c r="J33" s="52"/>
      <c r="K33" s="54" t="str">
        <f t="shared" si="0"/>
        <v/>
      </c>
      <c r="T33" s="33"/>
      <c r="AD33" s="33"/>
      <c r="AN33" s="33"/>
      <c r="AX33" s="33"/>
      <c r="BH33" s="33"/>
      <c r="BR33" s="33"/>
      <c r="CB33" s="33"/>
      <c r="CL33" s="33"/>
      <c r="CV33" s="33"/>
      <c r="DF33" s="33"/>
      <c r="DP33" s="33"/>
      <c r="DZ33" s="33"/>
      <c r="EJ33" s="33"/>
      <c r="ET33" s="33"/>
      <c r="FD33" s="33"/>
      <c r="FN33" s="33"/>
      <c r="FX33" s="33"/>
      <c r="GH33" s="33"/>
      <c r="GR33" s="33"/>
      <c r="HB33" s="33"/>
      <c r="HL33" s="33"/>
      <c r="HV33" s="33"/>
      <c r="IF33" s="33"/>
      <c r="IP33" s="33"/>
      <c r="IZ33" s="33"/>
      <c r="JJ33" s="33"/>
      <c r="JT33" s="33"/>
      <c r="KD33" s="33"/>
      <c r="KN33" s="33"/>
      <c r="KX33" s="33"/>
      <c r="LH33" s="33"/>
      <c r="LR33" s="33"/>
      <c r="MB33" s="33"/>
      <c r="ML33" s="33"/>
      <c r="MV33" s="33"/>
      <c r="NF33" s="33"/>
      <c r="NP33" s="33"/>
      <c r="NZ33" s="33"/>
      <c r="OJ33" s="33"/>
      <c r="OT33" s="33"/>
      <c r="PD33" s="33"/>
      <c r="PN33" s="33"/>
      <c r="PX33" s="33"/>
      <c r="QH33" s="33"/>
      <c r="QR33" s="33"/>
      <c r="RB33" s="33"/>
      <c r="RL33" s="33"/>
      <c r="RV33" s="33"/>
      <c r="SF33" s="33"/>
      <c r="SP33" s="33"/>
      <c r="SZ33" s="33"/>
      <c r="TJ33" s="33"/>
      <c r="TT33" s="33"/>
      <c r="UD33" s="33"/>
      <c r="UN33" s="33"/>
      <c r="UX33" s="33"/>
      <c r="VH33" s="33"/>
      <c r="VR33" s="33"/>
      <c r="WB33" s="33"/>
      <c r="WL33" s="33"/>
      <c r="WV33" s="33"/>
      <c r="XF33" s="33"/>
      <c r="XP33" s="33"/>
      <c r="XZ33" s="33"/>
      <c r="YJ33" s="33"/>
      <c r="YT33" s="33"/>
      <c r="ZD33" s="33"/>
      <c r="ZN33" s="33"/>
      <c r="ZX33" s="33"/>
      <c r="AAH33" s="33"/>
      <c r="AAR33" s="33"/>
      <c r="ABB33" s="33"/>
      <c r="ABL33" s="33"/>
      <c r="ABV33" s="33"/>
      <c r="ACF33" s="33"/>
      <c r="ACP33" s="33"/>
      <c r="ACZ33" s="33"/>
      <c r="ADJ33" s="33"/>
      <c r="ADT33" s="33"/>
      <c r="AED33" s="33"/>
      <c r="AEN33" s="33"/>
      <c r="AEX33" s="33"/>
      <c r="AFH33" s="33"/>
      <c r="AFR33" s="33"/>
      <c r="AGB33" s="33"/>
      <c r="AGL33" s="33"/>
      <c r="AGV33" s="33"/>
      <c r="AHF33" s="33"/>
      <c r="AHP33" s="33"/>
      <c r="AHZ33" s="33"/>
      <c r="AIJ33" s="33"/>
      <c r="AIT33" s="33"/>
      <c r="AJD33" s="33"/>
      <c r="AJN33" s="33"/>
      <c r="AJX33" s="33"/>
      <c r="AKH33" s="33"/>
      <c r="AKR33" s="33"/>
      <c r="ALB33" s="33"/>
      <c r="ALL33" s="33"/>
      <c r="ALV33" s="33"/>
      <c r="AMF33" s="33"/>
      <c r="AMP33" s="33"/>
      <c r="AMZ33" s="33"/>
      <c r="ANJ33" s="33"/>
      <c r="ANT33" s="33"/>
      <c r="AOD33" s="33"/>
      <c r="AON33" s="33"/>
      <c r="AOX33" s="33"/>
      <c r="APH33" s="33"/>
      <c r="APR33" s="33"/>
      <c r="AQB33" s="33"/>
      <c r="AQL33" s="33"/>
      <c r="AQV33" s="33"/>
      <c r="ARF33" s="33"/>
      <c r="ARP33" s="33"/>
      <c r="ARZ33" s="33"/>
      <c r="ASJ33" s="33"/>
      <c r="AST33" s="33"/>
      <c r="ATD33" s="33"/>
      <c r="ATN33" s="33"/>
      <c r="ATX33" s="33"/>
      <c r="AUH33" s="33"/>
      <c r="AUR33" s="33"/>
      <c r="AVB33" s="33"/>
      <c r="AVL33" s="33"/>
      <c r="AVV33" s="33"/>
      <c r="AWF33" s="33"/>
      <c r="AWP33" s="33"/>
      <c r="AWZ33" s="33"/>
      <c r="AXJ33" s="33"/>
      <c r="AXT33" s="33"/>
      <c r="AYD33" s="33"/>
      <c r="AYN33" s="33"/>
      <c r="AYX33" s="33"/>
      <c r="AZH33" s="33"/>
      <c r="AZR33" s="33"/>
      <c r="BAB33" s="33"/>
      <c r="BAL33" s="33"/>
      <c r="BAV33" s="33"/>
      <c r="BBF33" s="33"/>
      <c r="BBP33" s="33"/>
      <c r="BBZ33" s="33"/>
      <c r="BCJ33" s="33"/>
      <c r="BCT33" s="33"/>
      <c r="BDD33" s="33"/>
      <c r="BDN33" s="33"/>
      <c r="BDX33" s="33"/>
      <c r="BEH33" s="33"/>
      <c r="BER33" s="33"/>
      <c r="BFB33" s="33"/>
      <c r="BFL33" s="33"/>
      <c r="BFV33" s="33"/>
      <c r="BGF33" s="33"/>
      <c r="BGP33" s="33"/>
      <c r="BGZ33" s="33"/>
      <c r="BHJ33" s="33"/>
      <c r="BHT33" s="33"/>
      <c r="BID33" s="33"/>
      <c r="BIN33" s="33"/>
      <c r="BIX33" s="33"/>
      <c r="BJH33" s="33"/>
      <c r="BJR33" s="33"/>
      <c r="BKB33" s="33"/>
      <c r="BKL33" s="33"/>
      <c r="BKV33" s="33"/>
      <c r="BLF33" s="33"/>
      <c r="BLP33" s="33"/>
      <c r="BLZ33" s="33"/>
      <c r="BMJ33" s="33"/>
      <c r="BMT33" s="33"/>
      <c r="BND33" s="33"/>
      <c r="BNN33" s="33"/>
      <c r="BNX33" s="33"/>
      <c r="BOH33" s="33"/>
      <c r="BOR33" s="33"/>
      <c r="BPB33" s="33"/>
      <c r="BPL33" s="33"/>
      <c r="BPV33" s="33"/>
      <c r="BQF33" s="33"/>
      <c r="BQP33" s="33"/>
      <c r="BQZ33" s="33"/>
      <c r="BRJ33" s="33"/>
      <c r="BRT33" s="33"/>
      <c r="BSD33" s="33"/>
      <c r="BSN33" s="33"/>
      <c r="BSX33" s="33"/>
      <c r="BTH33" s="33"/>
      <c r="BTR33" s="33"/>
      <c r="BUB33" s="33"/>
      <c r="BUL33" s="33"/>
      <c r="BUV33" s="33"/>
      <c r="BVF33" s="33"/>
      <c r="BVP33" s="33"/>
      <c r="BVZ33" s="33"/>
      <c r="BWJ33" s="33"/>
      <c r="BWT33" s="33"/>
      <c r="BXD33" s="33"/>
      <c r="BXN33" s="33"/>
      <c r="BXX33" s="33"/>
      <c r="BYH33" s="33"/>
      <c r="BYR33" s="33"/>
      <c r="BZB33" s="33"/>
      <c r="BZL33" s="33"/>
      <c r="BZV33" s="33"/>
      <c r="CAF33" s="33"/>
      <c r="CAP33" s="33"/>
      <c r="CAZ33" s="33"/>
      <c r="CBJ33" s="33"/>
      <c r="CBT33" s="33"/>
      <c r="CCD33" s="33"/>
      <c r="CCN33" s="33"/>
      <c r="CCX33" s="33"/>
      <c r="CDH33" s="33"/>
      <c r="CDR33" s="33"/>
      <c r="CEB33" s="33"/>
      <c r="CEL33" s="33"/>
      <c r="CEV33" s="33"/>
      <c r="CFF33" s="33"/>
      <c r="CFP33" s="33"/>
      <c r="CFZ33" s="33"/>
      <c r="CGJ33" s="33"/>
      <c r="CGT33" s="33"/>
      <c r="CHD33" s="33"/>
      <c r="CHN33" s="33"/>
      <c r="CHX33" s="33"/>
      <c r="CIH33" s="33"/>
      <c r="CIR33" s="33"/>
      <c r="CJB33" s="33"/>
      <c r="CJL33" s="33"/>
      <c r="CJV33" s="33"/>
      <c r="CKF33" s="33"/>
      <c r="CKP33" s="33"/>
      <c r="CKZ33" s="33"/>
      <c r="CLJ33" s="33"/>
      <c r="CLT33" s="33"/>
      <c r="CMD33" s="33"/>
      <c r="CMN33" s="33"/>
      <c r="CMX33" s="33"/>
      <c r="CNH33" s="33"/>
      <c r="CNR33" s="33"/>
      <c r="COB33" s="33"/>
      <c r="COL33" s="33"/>
      <c r="COV33" s="33"/>
      <c r="CPF33" s="33"/>
      <c r="CPP33" s="33"/>
      <c r="CPZ33" s="33"/>
      <c r="CQJ33" s="33"/>
      <c r="CQT33" s="33"/>
      <c r="CRD33" s="33"/>
      <c r="CRN33" s="33"/>
      <c r="CRX33" s="33"/>
      <c r="CSH33" s="33"/>
      <c r="CSR33" s="33"/>
      <c r="CTB33" s="33"/>
      <c r="CTL33" s="33"/>
      <c r="CTV33" s="33"/>
    </row>
    <row r="34" s="16" customFormat="1" customHeight="1" spans="1:1020 1030:2040 2050:2570">
      <c r="A34" s="57"/>
      <c r="B34" s="36"/>
      <c r="C34" s="8"/>
      <c r="D34" s="52"/>
      <c r="E34" s="52"/>
      <c r="F34" s="58" t="str">
        <f>IFERROR(VLOOKUP(E34,日报!E:G,2,0),"")</f>
        <v/>
      </c>
      <c r="G34" s="52"/>
      <c r="H34" s="53" t="str">
        <f>IFERROR(VLOOKUP(E34,基础数据!$E$4:$H$4,4,0),"")</f>
        <v/>
      </c>
      <c r="I34" s="53" t="str">
        <f>IFERROR(VLOOKUP(E34,基础数据!$E$4:$H$4,3,0),"")</f>
        <v/>
      </c>
      <c r="J34" s="52"/>
      <c r="K34" s="54" t="str">
        <f t="shared" si="0"/>
        <v/>
      </c>
      <c r="T34" s="33"/>
      <c r="AD34" s="33"/>
      <c r="AN34" s="33"/>
      <c r="AX34" s="33"/>
      <c r="BH34" s="33"/>
      <c r="BR34" s="33"/>
      <c r="CB34" s="33"/>
      <c r="CL34" s="33"/>
      <c r="CV34" s="33"/>
      <c r="DF34" s="33"/>
      <c r="DP34" s="33"/>
      <c r="DZ34" s="33"/>
      <c r="EJ34" s="33"/>
      <c r="ET34" s="33"/>
      <c r="FD34" s="33"/>
      <c r="FN34" s="33"/>
      <c r="FX34" s="33"/>
      <c r="GH34" s="33"/>
      <c r="GR34" s="33"/>
      <c r="HB34" s="33"/>
      <c r="HL34" s="33"/>
      <c r="HV34" s="33"/>
      <c r="IF34" s="33"/>
      <c r="IP34" s="33"/>
      <c r="IZ34" s="33"/>
      <c r="JJ34" s="33"/>
      <c r="JT34" s="33"/>
      <c r="KD34" s="33"/>
      <c r="KN34" s="33"/>
      <c r="KX34" s="33"/>
      <c r="LH34" s="33"/>
      <c r="LR34" s="33"/>
      <c r="MB34" s="33"/>
      <c r="ML34" s="33"/>
      <c r="MV34" s="33"/>
      <c r="NF34" s="33"/>
      <c r="NP34" s="33"/>
      <c r="NZ34" s="33"/>
      <c r="OJ34" s="33"/>
      <c r="OT34" s="33"/>
      <c r="PD34" s="33"/>
      <c r="PN34" s="33"/>
      <c r="PX34" s="33"/>
      <c r="QH34" s="33"/>
      <c r="QR34" s="33"/>
      <c r="RB34" s="33"/>
      <c r="RL34" s="33"/>
      <c r="RV34" s="33"/>
      <c r="SF34" s="33"/>
      <c r="SP34" s="33"/>
      <c r="SZ34" s="33"/>
      <c r="TJ34" s="33"/>
      <c r="TT34" s="33"/>
      <c r="UD34" s="33"/>
      <c r="UN34" s="33"/>
      <c r="UX34" s="33"/>
      <c r="VH34" s="33"/>
      <c r="VR34" s="33"/>
      <c r="WB34" s="33"/>
      <c r="WL34" s="33"/>
      <c r="WV34" s="33"/>
      <c r="XF34" s="33"/>
      <c r="XP34" s="33"/>
      <c r="XZ34" s="33"/>
      <c r="YJ34" s="33"/>
      <c r="YT34" s="33"/>
      <c r="ZD34" s="33"/>
      <c r="ZN34" s="33"/>
      <c r="ZX34" s="33"/>
      <c r="AAH34" s="33"/>
      <c r="AAR34" s="33"/>
      <c r="ABB34" s="33"/>
      <c r="ABL34" s="33"/>
      <c r="ABV34" s="33"/>
      <c r="ACF34" s="33"/>
      <c r="ACP34" s="33"/>
      <c r="ACZ34" s="33"/>
      <c r="ADJ34" s="33"/>
      <c r="ADT34" s="33"/>
      <c r="AED34" s="33"/>
      <c r="AEN34" s="33"/>
      <c r="AEX34" s="33"/>
      <c r="AFH34" s="33"/>
      <c r="AFR34" s="33"/>
      <c r="AGB34" s="33"/>
      <c r="AGL34" s="33"/>
      <c r="AGV34" s="33"/>
      <c r="AHF34" s="33"/>
      <c r="AHP34" s="33"/>
      <c r="AHZ34" s="33"/>
      <c r="AIJ34" s="33"/>
      <c r="AIT34" s="33"/>
      <c r="AJD34" s="33"/>
      <c r="AJN34" s="33"/>
      <c r="AJX34" s="33"/>
      <c r="AKH34" s="33"/>
      <c r="AKR34" s="33"/>
      <c r="ALB34" s="33"/>
      <c r="ALL34" s="33"/>
      <c r="ALV34" s="33"/>
      <c r="AMF34" s="33"/>
      <c r="AMP34" s="33"/>
      <c r="AMZ34" s="33"/>
      <c r="ANJ34" s="33"/>
      <c r="ANT34" s="33"/>
      <c r="AOD34" s="33"/>
      <c r="AON34" s="33"/>
      <c r="AOX34" s="33"/>
      <c r="APH34" s="33"/>
      <c r="APR34" s="33"/>
      <c r="AQB34" s="33"/>
      <c r="AQL34" s="33"/>
      <c r="AQV34" s="33"/>
      <c r="ARF34" s="33"/>
      <c r="ARP34" s="33"/>
      <c r="ARZ34" s="33"/>
      <c r="ASJ34" s="33"/>
      <c r="AST34" s="33"/>
      <c r="ATD34" s="33"/>
      <c r="ATN34" s="33"/>
      <c r="ATX34" s="33"/>
      <c r="AUH34" s="33"/>
      <c r="AUR34" s="33"/>
      <c r="AVB34" s="33"/>
      <c r="AVL34" s="33"/>
      <c r="AVV34" s="33"/>
      <c r="AWF34" s="33"/>
      <c r="AWP34" s="33"/>
      <c r="AWZ34" s="33"/>
      <c r="AXJ34" s="33"/>
      <c r="AXT34" s="33"/>
      <c r="AYD34" s="33"/>
      <c r="AYN34" s="33"/>
      <c r="AYX34" s="33"/>
      <c r="AZH34" s="33"/>
      <c r="AZR34" s="33"/>
      <c r="BAB34" s="33"/>
      <c r="BAL34" s="33"/>
      <c r="BAV34" s="33"/>
      <c r="BBF34" s="33"/>
      <c r="BBP34" s="33"/>
      <c r="BBZ34" s="33"/>
      <c r="BCJ34" s="33"/>
      <c r="BCT34" s="33"/>
      <c r="BDD34" s="33"/>
      <c r="BDN34" s="33"/>
      <c r="BDX34" s="33"/>
      <c r="BEH34" s="33"/>
      <c r="BER34" s="33"/>
      <c r="BFB34" s="33"/>
      <c r="BFL34" s="33"/>
      <c r="BFV34" s="33"/>
      <c r="BGF34" s="33"/>
      <c r="BGP34" s="33"/>
      <c r="BGZ34" s="33"/>
      <c r="BHJ34" s="33"/>
      <c r="BHT34" s="33"/>
      <c r="BID34" s="33"/>
      <c r="BIN34" s="33"/>
      <c r="BIX34" s="33"/>
      <c r="BJH34" s="33"/>
      <c r="BJR34" s="33"/>
      <c r="BKB34" s="33"/>
      <c r="BKL34" s="33"/>
      <c r="BKV34" s="33"/>
      <c r="BLF34" s="33"/>
      <c r="BLP34" s="33"/>
      <c r="BLZ34" s="33"/>
      <c r="BMJ34" s="33"/>
      <c r="BMT34" s="33"/>
      <c r="BND34" s="33"/>
      <c r="BNN34" s="33"/>
      <c r="BNX34" s="33"/>
      <c r="BOH34" s="33"/>
      <c r="BOR34" s="33"/>
      <c r="BPB34" s="33"/>
      <c r="BPL34" s="33"/>
      <c r="BPV34" s="33"/>
      <c r="BQF34" s="33"/>
      <c r="BQP34" s="33"/>
      <c r="BQZ34" s="33"/>
      <c r="BRJ34" s="33"/>
      <c r="BRT34" s="33"/>
      <c r="BSD34" s="33"/>
      <c r="BSN34" s="33"/>
      <c r="BSX34" s="33"/>
      <c r="BTH34" s="33"/>
      <c r="BTR34" s="33"/>
      <c r="BUB34" s="33"/>
      <c r="BUL34" s="33"/>
      <c r="BUV34" s="33"/>
      <c r="BVF34" s="33"/>
      <c r="BVP34" s="33"/>
      <c r="BVZ34" s="33"/>
      <c r="BWJ34" s="33"/>
      <c r="BWT34" s="33"/>
      <c r="BXD34" s="33"/>
      <c r="BXN34" s="33"/>
      <c r="BXX34" s="33"/>
      <c r="BYH34" s="33"/>
      <c r="BYR34" s="33"/>
      <c r="BZB34" s="33"/>
      <c r="BZL34" s="33"/>
      <c r="BZV34" s="33"/>
      <c r="CAF34" s="33"/>
      <c r="CAP34" s="33"/>
      <c r="CAZ34" s="33"/>
      <c r="CBJ34" s="33"/>
      <c r="CBT34" s="33"/>
      <c r="CCD34" s="33"/>
      <c r="CCN34" s="33"/>
      <c r="CCX34" s="33"/>
      <c r="CDH34" s="33"/>
      <c r="CDR34" s="33"/>
      <c r="CEB34" s="33"/>
      <c r="CEL34" s="33"/>
      <c r="CEV34" s="33"/>
      <c r="CFF34" s="33"/>
      <c r="CFP34" s="33"/>
      <c r="CFZ34" s="33"/>
      <c r="CGJ34" s="33"/>
      <c r="CGT34" s="33"/>
      <c r="CHD34" s="33"/>
      <c r="CHN34" s="33"/>
      <c r="CHX34" s="33"/>
      <c r="CIH34" s="33"/>
      <c r="CIR34" s="33"/>
      <c r="CJB34" s="33"/>
      <c r="CJL34" s="33"/>
      <c r="CJV34" s="33"/>
      <c r="CKF34" s="33"/>
      <c r="CKP34" s="33"/>
      <c r="CKZ34" s="33"/>
      <c r="CLJ34" s="33"/>
      <c r="CLT34" s="33"/>
      <c r="CMD34" s="33"/>
      <c r="CMN34" s="33"/>
      <c r="CMX34" s="33"/>
      <c r="CNH34" s="33"/>
      <c r="CNR34" s="33"/>
      <c r="COB34" s="33"/>
      <c r="COL34" s="33"/>
      <c r="COV34" s="33"/>
      <c r="CPF34" s="33"/>
      <c r="CPP34" s="33"/>
      <c r="CPZ34" s="33"/>
      <c r="CQJ34" s="33"/>
      <c r="CQT34" s="33"/>
      <c r="CRD34" s="33"/>
      <c r="CRN34" s="33"/>
      <c r="CRX34" s="33"/>
      <c r="CSH34" s="33"/>
      <c r="CSR34" s="33"/>
      <c r="CTB34" s="33"/>
      <c r="CTL34" s="33"/>
      <c r="CTV34" s="33"/>
    </row>
    <row r="35" s="16" customFormat="1" customHeight="1" spans="1:1020 1030:2040 2050:2570">
      <c r="A35" s="57"/>
      <c r="B35" s="36"/>
      <c r="C35" s="8"/>
      <c r="D35" s="52"/>
      <c r="E35" s="52"/>
      <c r="F35" s="58" t="str">
        <f>IFERROR(VLOOKUP(E35,日报!E:G,2,0),"")</f>
        <v/>
      </c>
      <c r="G35" s="52"/>
      <c r="H35" s="53" t="str">
        <f>IFERROR(VLOOKUP(E35,基础数据!$E$4:$H$4,4,0),"")</f>
        <v/>
      </c>
      <c r="I35" s="53" t="str">
        <f>IFERROR(VLOOKUP(E35,基础数据!$E$4:$H$4,3,0),"")</f>
        <v/>
      </c>
      <c r="J35" s="52"/>
      <c r="K35" s="54" t="str">
        <f t="shared" si="0"/>
        <v/>
      </c>
      <c r="T35" s="33"/>
      <c r="AD35" s="33"/>
      <c r="AN35" s="33"/>
      <c r="AX35" s="33"/>
      <c r="BH35" s="33"/>
      <c r="BR35" s="33"/>
      <c r="CB35" s="33"/>
      <c r="CL35" s="33"/>
      <c r="CV35" s="33"/>
      <c r="DF35" s="33"/>
      <c r="DP35" s="33"/>
      <c r="DZ35" s="33"/>
      <c r="EJ35" s="33"/>
      <c r="ET35" s="33"/>
      <c r="FD35" s="33"/>
      <c r="FN35" s="33"/>
      <c r="FX35" s="33"/>
      <c r="GH35" s="33"/>
      <c r="GR35" s="33"/>
      <c r="HB35" s="33"/>
      <c r="HL35" s="33"/>
      <c r="HV35" s="33"/>
      <c r="IF35" s="33"/>
      <c r="IP35" s="33"/>
      <c r="IZ35" s="33"/>
      <c r="JJ35" s="33"/>
      <c r="JT35" s="33"/>
      <c r="KD35" s="33"/>
      <c r="KN35" s="33"/>
      <c r="KX35" s="33"/>
      <c r="LH35" s="33"/>
      <c r="LR35" s="33"/>
      <c r="MB35" s="33"/>
      <c r="ML35" s="33"/>
      <c r="MV35" s="33"/>
      <c r="NF35" s="33"/>
      <c r="NP35" s="33"/>
      <c r="NZ35" s="33"/>
      <c r="OJ35" s="33"/>
      <c r="OT35" s="33"/>
      <c r="PD35" s="33"/>
      <c r="PN35" s="33"/>
      <c r="PX35" s="33"/>
      <c r="QH35" s="33"/>
      <c r="QR35" s="33"/>
      <c r="RB35" s="33"/>
      <c r="RL35" s="33"/>
      <c r="RV35" s="33"/>
      <c r="SF35" s="33"/>
      <c r="SP35" s="33"/>
      <c r="SZ35" s="33"/>
      <c r="TJ35" s="33"/>
      <c r="TT35" s="33"/>
      <c r="UD35" s="33"/>
      <c r="UN35" s="33"/>
      <c r="UX35" s="33"/>
      <c r="VH35" s="33"/>
      <c r="VR35" s="33"/>
      <c r="WB35" s="33"/>
      <c r="WL35" s="33"/>
      <c r="WV35" s="33"/>
      <c r="XF35" s="33"/>
      <c r="XP35" s="33"/>
      <c r="XZ35" s="33"/>
      <c r="YJ35" s="33"/>
      <c r="YT35" s="33"/>
      <c r="ZD35" s="33"/>
      <c r="ZN35" s="33"/>
      <c r="ZX35" s="33"/>
      <c r="AAH35" s="33"/>
      <c r="AAR35" s="33"/>
      <c r="ABB35" s="33"/>
      <c r="ABL35" s="33"/>
      <c r="ABV35" s="33"/>
      <c r="ACF35" s="33"/>
      <c r="ACP35" s="33"/>
      <c r="ACZ35" s="33"/>
      <c r="ADJ35" s="33"/>
      <c r="ADT35" s="33"/>
      <c r="AED35" s="33"/>
      <c r="AEN35" s="33"/>
      <c r="AEX35" s="33"/>
      <c r="AFH35" s="33"/>
      <c r="AFR35" s="33"/>
      <c r="AGB35" s="33"/>
      <c r="AGL35" s="33"/>
      <c r="AGV35" s="33"/>
      <c r="AHF35" s="33"/>
      <c r="AHP35" s="33"/>
      <c r="AHZ35" s="33"/>
      <c r="AIJ35" s="33"/>
      <c r="AIT35" s="33"/>
      <c r="AJD35" s="33"/>
      <c r="AJN35" s="33"/>
      <c r="AJX35" s="33"/>
      <c r="AKH35" s="33"/>
      <c r="AKR35" s="33"/>
      <c r="ALB35" s="33"/>
      <c r="ALL35" s="33"/>
      <c r="ALV35" s="33"/>
      <c r="AMF35" s="33"/>
      <c r="AMP35" s="33"/>
      <c r="AMZ35" s="33"/>
      <c r="ANJ35" s="33"/>
      <c r="ANT35" s="33"/>
      <c r="AOD35" s="33"/>
      <c r="AON35" s="33"/>
      <c r="AOX35" s="33"/>
      <c r="APH35" s="33"/>
      <c r="APR35" s="33"/>
      <c r="AQB35" s="33"/>
      <c r="AQL35" s="33"/>
      <c r="AQV35" s="33"/>
      <c r="ARF35" s="33"/>
      <c r="ARP35" s="33"/>
      <c r="ARZ35" s="33"/>
      <c r="ASJ35" s="33"/>
      <c r="AST35" s="33"/>
      <c r="ATD35" s="33"/>
      <c r="ATN35" s="33"/>
      <c r="ATX35" s="33"/>
      <c r="AUH35" s="33"/>
      <c r="AUR35" s="33"/>
      <c r="AVB35" s="33"/>
      <c r="AVL35" s="33"/>
      <c r="AVV35" s="33"/>
      <c r="AWF35" s="33"/>
      <c r="AWP35" s="33"/>
      <c r="AWZ35" s="33"/>
      <c r="AXJ35" s="33"/>
      <c r="AXT35" s="33"/>
      <c r="AYD35" s="33"/>
      <c r="AYN35" s="33"/>
      <c r="AYX35" s="33"/>
      <c r="AZH35" s="33"/>
      <c r="AZR35" s="33"/>
      <c r="BAB35" s="33"/>
      <c r="BAL35" s="33"/>
      <c r="BAV35" s="33"/>
      <c r="BBF35" s="33"/>
      <c r="BBP35" s="33"/>
      <c r="BBZ35" s="33"/>
      <c r="BCJ35" s="33"/>
      <c r="BCT35" s="33"/>
      <c r="BDD35" s="33"/>
      <c r="BDN35" s="33"/>
      <c r="BDX35" s="33"/>
      <c r="BEH35" s="33"/>
      <c r="BER35" s="33"/>
      <c r="BFB35" s="33"/>
      <c r="BFL35" s="33"/>
      <c r="BFV35" s="33"/>
      <c r="BGF35" s="33"/>
      <c r="BGP35" s="33"/>
      <c r="BGZ35" s="33"/>
      <c r="BHJ35" s="33"/>
      <c r="BHT35" s="33"/>
      <c r="BID35" s="33"/>
      <c r="BIN35" s="33"/>
      <c r="BIX35" s="33"/>
      <c r="BJH35" s="33"/>
      <c r="BJR35" s="33"/>
      <c r="BKB35" s="33"/>
      <c r="BKL35" s="33"/>
      <c r="BKV35" s="33"/>
      <c r="BLF35" s="33"/>
      <c r="BLP35" s="33"/>
      <c r="BLZ35" s="33"/>
      <c r="BMJ35" s="33"/>
      <c r="BMT35" s="33"/>
      <c r="BND35" s="33"/>
      <c r="BNN35" s="33"/>
      <c r="BNX35" s="33"/>
      <c r="BOH35" s="33"/>
      <c r="BOR35" s="33"/>
      <c r="BPB35" s="33"/>
      <c r="BPL35" s="33"/>
      <c r="BPV35" s="33"/>
      <c r="BQF35" s="33"/>
      <c r="BQP35" s="33"/>
      <c r="BQZ35" s="33"/>
      <c r="BRJ35" s="33"/>
      <c r="BRT35" s="33"/>
      <c r="BSD35" s="33"/>
      <c r="BSN35" s="33"/>
      <c r="BSX35" s="33"/>
      <c r="BTH35" s="33"/>
      <c r="BTR35" s="33"/>
      <c r="BUB35" s="33"/>
      <c r="BUL35" s="33"/>
      <c r="BUV35" s="33"/>
      <c r="BVF35" s="33"/>
      <c r="BVP35" s="33"/>
      <c r="BVZ35" s="33"/>
      <c r="BWJ35" s="33"/>
      <c r="BWT35" s="33"/>
      <c r="BXD35" s="33"/>
      <c r="BXN35" s="33"/>
      <c r="BXX35" s="33"/>
      <c r="BYH35" s="33"/>
      <c r="BYR35" s="33"/>
      <c r="BZB35" s="33"/>
      <c r="BZL35" s="33"/>
      <c r="BZV35" s="33"/>
      <c r="CAF35" s="33"/>
      <c r="CAP35" s="33"/>
      <c r="CAZ35" s="33"/>
      <c r="CBJ35" s="33"/>
      <c r="CBT35" s="33"/>
      <c r="CCD35" s="33"/>
      <c r="CCN35" s="33"/>
      <c r="CCX35" s="33"/>
      <c r="CDH35" s="33"/>
      <c r="CDR35" s="33"/>
      <c r="CEB35" s="33"/>
      <c r="CEL35" s="33"/>
      <c r="CEV35" s="33"/>
      <c r="CFF35" s="33"/>
      <c r="CFP35" s="33"/>
      <c r="CFZ35" s="33"/>
      <c r="CGJ35" s="33"/>
      <c r="CGT35" s="33"/>
      <c r="CHD35" s="33"/>
      <c r="CHN35" s="33"/>
      <c r="CHX35" s="33"/>
      <c r="CIH35" s="33"/>
      <c r="CIR35" s="33"/>
      <c r="CJB35" s="33"/>
      <c r="CJL35" s="33"/>
      <c r="CJV35" s="33"/>
      <c r="CKF35" s="33"/>
      <c r="CKP35" s="33"/>
      <c r="CKZ35" s="33"/>
      <c r="CLJ35" s="33"/>
      <c r="CLT35" s="33"/>
      <c r="CMD35" s="33"/>
      <c r="CMN35" s="33"/>
      <c r="CMX35" s="33"/>
      <c r="CNH35" s="33"/>
      <c r="CNR35" s="33"/>
      <c r="COB35" s="33"/>
      <c r="COL35" s="33"/>
      <c r="COV35" s="33"/>
      <c r="CPF35" s="33"/>
      <c r="CPP35" s="33"/>
      <c r="CPZ35" s="33"/>
      <c r="CQJ35" s="33"/>
      <c r="CQT35" s="33"/>
      <c r="CRD35" s="33"/>
      <c r="CRN35" s="33"/>
      <c r="CRX35" s="33"/>
      <c r="CSH35" s="33"/>
      <c r="CSR35" s="33"/>
      <c r="CTB35" s="33"/>
      <c r="CTL35" s="33"/>
      <c r="CTV35" s="33"/>
    </row>
    <row r="36" s="16" customFormat="1" customHeight="1" spans="1:1020 1030:2040 2050:2570">
      <c r="A36" s="57"/>
      <c r="B36" s="36"/>
      <c r="C36" s="8"/>
      <c r="D36" s="52"/>
      <c r="E36" s="52"/>
      <c r="F36" s="58" t="str">
        <f>IFERROR(VLOOKUP(E36,日报!E:G,2,0),"")</f>
        <v/>
      </c>
      <c r="G36" s="52"/>
      <c r="H36" s="53" t="str">
        <f>IFERROR(VLOOKUP(E36,基础数据!$E$4:$H$4,4,0),"")</f>
        <v/>
      </c>
      <c r="I36" s="53" t="str">
        <f>IFERROR(VLOOKUP(E36,基础数据!$E$4:$H$4,3,0),"")</f>
        <v/>
      </c>
      <c r="J36" s="52"/>
      <c r="K36" s="54" t="str">
        <f t="shared" si="0"/>
        <v/>
      </c>
      <c r="T36" s="33"/>
      <c r="AD36" s="33"/>
      <c r="AN36" s="33"/>
      <c r="AX36" s="33"/>
      <c r="BH36" s="33"/>
      <c r="BR36" s="33"/>
      <c r="CB36" s="33"/>
      <c r="CL36" s="33"/>
      <c r="CV36" s="33"/>
      <c r="DF36" s="33"/>
      <c r="DP36" s="33"/>
      <c r="DZ36" s="33"/>
      <c r="EJ36" s="33"/>
      <c r="ET36" s="33"/>
      <c r="FD36" s="33"/>
      <c r="FN36" s="33"/>
      <c r="FX36" s="33"/>
      <c r="GH36" s="33"/>
      <c r="GR36" s="33"/>
      <c r="HB36" s="33"/>
      <c r="HL36" s="33"/>
      <c r="HV36" s="33"/>
      <c r="IF36" s="33"/>
      <c r="IP36" s="33"/>
      <c r="IZ36" s="33"/>
      <c r="JJ36" s="33"/>
      <c r="JT36" s="33"/>
      <c r="KD36" s="33"/>
      <c r="KN36" s="33"/>
      <c r="KX36" s="33"/>
      <c r="LH36" s="33"/>
      <c r="LR36" s="33"/>
      <c r="MB36" s="33"/>
      <c r="ML36" s="33"/>
      <c r="MV36" s="33"/>
      <c r="NF36" s="33"/>
      <c r="NP36" s="33"/>
      <c r="NZ36" s="33"/>
      <c r="OJ36" s="33"/>
      <c r="OT36" s="33"/>
      <c r="PD36" s="33"/>
      <c r="PN36" s="33"/>
      <c r="PX36" s="33"/>
      <c r="QH36" s="33"/>
      <c r="QR36" s="33"/>
      <c r="RB36" s="33"/>
      <c r="RL36" s="33"/>
      <c r="RV36" s="33"/>
      <c r="SF36" s="33"/>
      <c r="SP36" s="33"/>
      <c r="SZ36" s="33"/>
      <c r="TJ36" s="33"/>
      <c r="TT36" s="33"/>
      <c r="UD36" s="33"/>
      <c r="UN36" s="33"/>
      <c r="UX36" s="33"/>
      <c r="VH36" s="33"/>
      <c r="VR36" s="33"/>
      <c r="WB36" s="33"/>
      <c r="WL36" s="33"/>
      <c r="WV36" s="33"/>
      <c r="XF36" s="33"/>
      <c r="XP36" s="33"/>
      <c r="XZ36" s="33"/>
      <c r="YJ36" s="33"/>
      <c r="YT36" s="33"/>
      <c r="ZD36" s="33"/>
      <c r="ZN36" s="33"/>
      <c r="ZX36" s="33"/>
      <c r="AAH36" s="33"/>
      <c r="AAR36" s="33"/>
      <c r="ABB36" s="33"/>
      <c r="ABL36" s="33"/>
      <c r="ABV36" s="33"/>
      <c r="ACF36" s="33"/>
      <c r="ACP36" s="33"/>
      <c r="ACZ36" s="33"/>
      <c r="ADJ36" s="33"/>
      <c r="ADT36" s="33"/>
      <c r="AED36" s="33"/>
      <c r="AEN36" s="33"/>
      <c r="AEX36" s="33"/>
      <c r="AFH36" s="33"/>
      <c r="AFR36" s="33"/>
      <c r="AGB36" s="33"/>
      <c r="AGL36" s="33"/>
      <c r="AGV36" s="33"/>
      <c r="AHF36" s="33"/>
      <c r="AHP36" s="33"/>
      <c r="AHZ36" s="33"/>
      <c r="AIJ36" s="33"/>
      <c r="AIT36" s="33"/>
      <c r="AJD36" s="33"/>
      <c r="AJN36" s="33"/>
      <c r="AJX36" s="33"/>
      <c r="AKH36" s="33"/>
      <c r="AKR36" s="33"/>
      <c r="ALB36" s="33"/>
      <c r="ALL36" s="33"/>
      <c r="ALV36" s="33"/>
      <c r="AMF36" s="33"/>
      <c r="AMP36" s="33"/>
      <c r="AMZ36" s="33"/>
      <c r="ANJ36" s="33"/>
      <c r="ANT36" s="33"/>
      <c r="AOD36" s="33"/>
      <c r="AON36" s="33"/>
      <c r="AOX36" s="33"/>
      <c r="APH36" s="33"/>
      <c r="APR36" s="33"/>
      <c r="AQB36" s="33"/>
      <c r="AQL36" s="33"/>
      <c r="AQV36" s="33"/>
      <c r="ARF36" s="33"/>
      <c r="ARP36" s="33"/>
      <c r="ARZ36" s="33"/>
      <c r="ASJ36" s="33"/>
      <c r="AST36" s="33"/>
      <c r="ATD36" s="33"/>
      <c r="ATN36" s="33"/>
      <c r="ATX36" s="33"/>
      <c r="AUH36" s="33"/>
      <c r="AUR36" s="33"/>
      <c r="AVB36" s="33"/>
      <c r="AVL36" s="33"/>
      <c r="AVV36" s="33"/>
      <c r="AWF36" s="33"/>
      <c r="AWP36" s="33"/>
      <c r="AWZ36" s="33"/>
      <c r="AXJ36" s="33"/>
      <c r="AXT36" s="33"/>
      <c r="AYD36" s="33"/>
      <c r="AYN36" s="33"/>
      <c r="AYX36" s="33"/>
      <c r="AZH36" s="33"/>
      <c r="AZR36" s="33"/>
      <c r="BAB36" s="33"/>
      <c r="BAL36" s="33"/>
      <c r="BAV36" s="33"/>
      <c r="BBF36" s="33"/>
      <c r="BBP36" s="33"/>
      <c r="BBZ36" s="33"/>
      <c r="BCJ36" s="33"/>
      <c r="BCT36" s="33"/>
      <c r="BDD36" s="33"/>
      <c r="BDN36" s="33"/>
      <c r="BDX36" s="33"/>
      <c r="BEH36" s="33"/>
      <c r="BER36" s="33"/>
      <c r="BFB36" s="33"/>
      <c r="BFL36" s="33"/>
      <c r="BFV36" s="33"/>
      <c r="BGF36" s="33"/>
      <c r="BGP36" s="33"/>
      <c r="BGZ36" s="33"/>
      <c r="BHJ36" s="33"/>
      <c r="BHT36" s="33"/>
      <c r="BID36" s="33"/>
      <c r="BIN36" s="33"/>
      <c r="BIX36" s="33"/>
      <c r="BJH36" s="33"/>
      <c r="BJR36" s="33"/>
      <c r="BKB36" s="33"/>
      <c r="BKL36" s="33"/>
      <c r="BKV36" s="33"/>
      <c r="BLF36" s="33"/>
      <c r="BLP36" s="33"/>
      <c r="BLZ36" s="33"/>
      <c r="BMJ36" s="33"/>
      <c r="BMT36" s="33"/>
      <c r="BND36" s="33"/>
      <c r="BNN36" s="33"/>
      <c r="BNX36" s="33"/>
      <c r="BOH36" s="33"/>
      <c r="BOR36" s="33"/>
      <c r="BPB36" s="33"/>
      <c r="BPL36" s="33"/>
      <c r="BPV36" s="33"/>
      <c r="BQF36" s="33"/>
      <c r="BQP36" s="33"/>
      <c r="BQZ36" s="33"/>
      <c r="BRJ36" s="33"/>
      <c r="BRT36" s="33"/>
      <c r="BSD36" s="33"/>
      <c r="BSN36" s="33"/>
      <c r="BSX36" s="33"/>
      <c r="BTH36" s="33"/>
      <c r="BTR36" s="33"/>
      <c r="BUB36" s="33"/>
      <c r="BUL36" s="33"/>
      <c r="BUV36" s="33"/>
      <c r="BVF36" s="33"/>
      <c r="BVP36" s="33"/>
      <c r="BVZ36" s="33"/>
      <c r="BWJ36" s="33"/>
      <c r="BWT36" s="33"/>
      <c r="BXD36" s="33"/>
      <c r="BXN36" s="33"/>
      <c r="BXX36" s="33"/>
      <c r="BYH36" s="33"/>
      <c r="BYR36" s="33"/>
      <c r="BZB36" s="33"/>
      <c r="BZL36" s="33"/>
      <c r="BZV36" s="33"/>
      <c r="CAF36" s="33"/>
      <c r="CAP36" s="33"/>
      <c r="CAZ36" s="33"/>
      <c r="CBJ36" s="33"/>
      <c r="CBT36" s="33"/>
      <c r="CCD36" s="33"/>
      <c r="CCN36" s="33"/>
      <c r="CCX36" s="33"/>
      <c r="CDH36" s="33"/>
      <c r="CDR36" s="33"/>
      <c r="CEB36" s="33"/>
      <c r="CEL36" s="33"/>
      <c r="CEV36" s="33"/>
      <c r="CFF36" s="33"/>
      <c r="CFP36" s="33"/>
      <c r="CFZ36" s="33"/>
      <c r="CGJ36" s="33"/>
      <c r="CGT36" s="33"/>
      <c r="CHD36" s="33"/>
      <c r="CHN36" s="33"/>
      <c r="CHX36" s="33"/>
      <c r="CIH36" s="33"/>
      <c r="CIR36" s="33"/>
      <c r="CJB36" s="33"/>
      <c r="CJL36" s="33"/>
      <c r="CJV36" s="33"/>
      <c r="CKF36" s="33"/>
      <c r="CKP36" s="33"/>
      <c r="CKZ36" s="33"/>
      <c r="CLJ36" s="33"/>
      <c r="CLT36" s="33"/>
      <c r="CMD36" s="33"/>
      <c r="CMN36" s="33"/>
      <c r="CMX36" s="33"/>
      <c r="CNH36" s="33"/>
      <c r="CNR36" s="33"/>
      <c r="COB36" s="33"/>
      <c r="COL36" s="33"/>
      <c r="COV36" s="33"/>
      <c r="CPF36" s="33"/>
      <c r="CPP36" s="33"/>
      <c r="CPZ36" s="33"/>
      <c r="CQJ36" s="33"/>
      <c r="CQT36" s="33"/>
      <c r="CRD36" s="33"/>
      <c r="CRN36" s="33"/>
      <c r="CRX36" s="33"/>
      <c r="CSH36" s="33"/>
      <c r="CSR36" s="33"/>
      <c r="CTB36" s="33"/>
      <c r="CTL36" s="33"/>
      <c r="CTV36" s="33"/>
    </row>
    <row r="37" s="16" customFormat="1" customHeight="1" spans="1:1020 1030:2040 2050:2570">
      <c r="A37" s="57"/>
      <c r="B37" s="36"/>
      <c r="C37" s="8"/>
      <c r="D37" s="52"/>
      <c r="E37" s="52"/>
      <c r="F37" s="58" t="str">
        <f>IFERROR(VLOOKUP(E37,日报!E:G,2,0),"")</f>
        <v/>
      </c>
      <c r="G37" s="52"/>
      <c r="H37" s="53" t="str">
        <f>IFERROR(VLOOKUP(E37,基础数据!$E$4:$H$4,4,0),"")</f>
        <v/>
      </c>
      <c r="I37" s="53" t="str">
        <f>IFERROR(VLOOKUP(E37,基础数据!$E$4:$H$4,3,0),"")</f>
        <v/>
      </c>
      <c r="J37" s="52"/>
      <c r="K37" s="54" t="str">
        <f t="shared" si="0"/>
        <v/>
      </c>
      <c r="T37" s="33"/>
      <c r="AD37" s="33"/>
      <c r="AN37" s="33"/>
      <c r="AX37" s="33"/>
      <c r="BH37" s="33"/>
      <c r="BR37" s="33"/>
      <c r="CB37" s="33"/>
      <c r="CL37" s="33"/>
      <c r="CV37" s="33"/>
      <c r="DF37" s="33"/>
      <c r="DP37" s="33"/>
      <c r="DZ37" s="33"/>
      <c r="EJ37" s="33"/>
      <c r="ET37" s="33"/>
      <c r="FD37" s="33"/>
      <c r="FN37" s="33"/>
      <c r="FX37" s="33"/>
      <c r="GH37" s="33"/>
      <c r="GR37" s="33"/>
      <c r="HB37" s="33"/>
      <c r="HL37" s="33"/>
      <c r="HV37" s="33"/>
      <c r="IF37" s="33"/>
      <c r="IP37" s="33"/>
      <c r="IZ37" s="33"/>
      <c r="JJ37" s="33"/>
      <c r="JT37" s="33"/>
      <c r="KD37" s="33"/>
      <c r="KN37" s="33"/>
      <c r="KX37" s="33"/>
      <c r="LH37" s="33"/>
      <c r="LR37" s="33"/>
      <c r="MB37" s="33"/>
      <c r="ML37" s="33"/>
      <c r="MV37" s="33"/>
      <c r="NF37" s="33"/>
      <c r="NP37" s="33"/>
      <c r="NZ37" s="33"/>
      <c r="OJ37" s="33"/>
      <c r="OT37" s="33"/>
      <c r="PD37" s="33"/>
      <c r="PN37" s="33"/>
      <c r="PX37" s="33"/>
      <c r="QH37" s="33"/>
      <c r="QR37" s="33"/>
      <c r="RB37" s="33"/>
      <c r="RL37" s="33"/>
      <c r="RV37" s="33"/>
      <c r="SF37" s="33"/>
      <c r="SP37" s="33"/>
      <c r="SZ37" s="33"/>
      <c r="TJ37" s="33"/>
      <c r="TT37" s="33"/>
      <c r="UD37" s="33"/>
      <c r="UN37" s="33"/>
      <c r="UX37" s="33"/>
      <c r="VH37" s="33"/>
      <c r="VR37" s="33"/>
      <c r="WB37" s="33"/>
      <c r="WL37" s="33"/>
      <c r="WV37" s="33"/>
      <c r="XF37" s="33"/>
      <c r="XP37" s="33"/>
      <c r="XZ37" s="33"/>
      <c r="YJ37" s="33"/>
      <c r="YT37" s="33"/>
      <c r="ZD37" s="33"/>
      <c r="ZN37" s="33"/>
      <c r="ZX37" s="33"/>
      <c r="AAH37" s="33"/>
      <c r="AAR37" s="33"/>
      <c r="ABB37" s="33"/>
      <c r="ABL37" s="33"/>
      <c r="ABV37" s="33"/>
      <c r="ACF37" s="33"/>
      <c r="ACP37" s="33"/>
      <c r="ACZ37" s="33"/>
      <c r="ADJ37" s="33"/>
      <c r="ADT37" s="33"/>
      <c r="AED37" s="33"/>
      <c r="AEN37" s="33"/>
      <c r="AEX37" s="33"/>
      <c r="AFH37" s="33"/>
      <c r="AFR37" s="33"/>
      <c r="AGB37" s="33"/>
      <c r="AGL37" s="33"/>
      <c r="AGV37" s="33"/>
      <c r="AHF37" s="33"/>
      <c r="AHP37" s="33"/>
      <c r="AHZ37" s="33"/>
      <c r="AIJ37" s="33"/>
      <c r="AIT37" s="33"/>
      <c r="AJD37" s="33"/>
      <c r="AJN37" s="33"/>
      <c r="AJX37" s="33"/>
      <c r="AKH37" s="33"/>
      <c r="AKR37" s="33"/>
      <c r="ALB37" s="33"/>
      <c r="ALL37" s="33"/>
      <c r="ALV37" s="33"/>
      <c r="AMF37" s="33"/>
      <c r="AMP37" s="33"/>
      <c r="AMZ37" s="33"/>
      <c r="ANJ37" s="33"/>
      <c r="ANT37" s="33"/>
      <c r="AOD37" s="33"/>
      <c r="AON37" s="33"/>
      <c r="AOX37" s="33"/>
      <c r="APH37" s="33"/>
      <c r="APR37" s="33"/>
      <c r="AQB37" s="33"/>
      <c r="AQL37" s="33"/>
      <c r="AQV37" s="33"/>
      <c r="ARF37" s="33"/>
      <c r="ARP37" s="33"/>
      <c r="ARZ37" s="33"/>
      <c r="ASJ37" s="33"/>
      <c r="AST37" s="33"/>
      <c r="ATD37" s="33"/>
      <c r="ATN37" s="33"/>
      <c r="ATX37" s="33"/>
      <c r="AUH37" s="33"/>
      <c r="AUR37" s="33"/>
      <c r="AVB37" s="33"/>
      <c r="AVL37" s="33"/>
      <c r="AVV37" s="33"/>
      <c r="AWF37" s="33"/>
      <c r="AWP37" s="33"/>
      <c r="AWZ37" s="33"/>
      <c r="AXJ37" s="33"/>
      <c r="AXT37" s="33"/>
      <c r="AYD37" s="33"/>
      <c r="AYN37" s="33"/>
      <c r="AYX37" s="33"/>
      <c r="AZH37" s="33"/>
      <c r="AZR37" s="33"/>
      <c r="BAB37" s="33"/>
      <c r="BAL37" s="33"/>
      <c r="BAV37" s="33"/>
      <c r="BBF37" s="33"/>
      <c r="BBP37" s="33"/>
      <c r="BBZ37" s="33"/>
      <c r="BCJ37" s="33"/>
      <c r="BCT37" s="33"/>
      <c r="BDD37" s="33"/>
      <c r="BDN37" s="33"/>
      <c r="BDX37" s="33"/>
      <c r="BEH37" s="33"/>
      <c r="BER37" s="33"/>
      <c r="BFB37" s="33"/>
      <c r="BFL37" s="33"/>
      <c r="BFV37" s="33"/>
      <c r="BGF37" s="33"/>
      <c r="BGP37" s="33"/>
      <c r="BGZ37" s="33"/>
      <c r="BHJ37" s="33"/>
      <c r="BHT37" s="33"/>
      <c r="BID37" s="33"/>
      <c r="BIN37" s="33"/>
      <c r="BIX37" s="33"/>
      <c r="BJH37" s="33"/>
      <c r="BJR37" s="33"/>
      <c r="BKB37" s="33"/>
      <c r="BKL37" s="33"/>
      <c r="BKV37" s="33"/>
      <c r="BLF37" s="33"/>
      <c r="BLP37" s="33"/>
      <c r="BLZ37" s="33"/>
      <c r="BMJ37" s="33"/>
      <c r="BMT37" s="33"/>
      <c r="BND37" s="33"/>
      <c r="BNN37" s="33"/>
      <c r="BNX37" s="33"/>
      <c r="BOH37" s="33"/>
      <c r="BOR37" s="33"/>
      <c r="BPB37" s="33"/>
      <c r="BPL37" s="33"/>
      <c r="BPV37" s="33"/>
      <c r="BQF37" s="33"/>
      <c r="BQP37" s="33"/>
      <c r="BQZ37" s="33"/>
      <c r="BRJ37" s="33"/>
      <c r="BRT37" s="33"/>
      <c r="BSD37" s="33"/>
      <c r="BSN37" s="33"/>
      <c r="BSX37" s="33"/>
      <c r="BTH37" s="33"/>
      <c r="BTR37" s="33"/>
      <c r="BUB37" s="33"/>
      <c r="BUL37" s="33"/>
      <c r="BUV37" s="33"/>
      <c r="BVF37" s="33"/>
      <c r="BVP37" s="33"/>
      <c r="BVZ37" s="33"/>
      <c r="BWJ37" s="33"/>
      <c r="BWT37" s="33"/>
      <c r="BXD37" s="33"/>
      <c r="BXN37" s="33"/>
      <c r="BXX37" s="33"/>
      <c r="BYH37" s="33"/>
      <c r="BYR37" s="33"/>
      <c r="BZB37" s="33"/>
      <c r="BZL37" s="33"/>
      <c r="BZV37" s="33"/>
      <c r="CAF37" s="33"/>
      <c r="CAP37" s="33"/>
      <c r="CAZ37" s="33"/>
      <c r="CBJ37" s="33"/>
      <c r="CBT37" s="33"/>
      <c r="CCD37" s="33"/>
      <c r="CCN37" s="33"/>
      <c r="CCX37" s="33"/>
      <c r="CDH37" s="33"/>
      <c r="CDR37" s="33"/>
      <c r="CEB37" s="33"/>
      <c r="CEL37" s="33"/>
      <c r="CEV37" s="33"/>
      <c r="CFF37" s="33"/>
      <c r="CFP37" s="33"/>
      <c r="CFZ37" s="33"/>
      <c r="CGJ37" s="33"/>
      <c r="CGT37" s="33"/>
      <c r="CHD37" s="33"/>
      <c r="CHN37" s="33"/>
      <c r="CHX37" s="33"/>
      <c r="CIH37" s="33"/>
      <c r="CIR37" s="33"/>
      <c r="CJB37" s="33"/>
      <c r="CJL37" s="33"/>
      <c r="CJV37" s="33"/>
      <c r="CKF37" s="33"/>
      <c r="CKP37" s="33"/>
      <c r="CKZ37" s="33"/>
      <c r="CLJ37" s="33"/>
      <c r="CLT37" s="33"/>
      <c r="CMD37" s="33"/>
      <c r="CMN37" s="33"/>
      <c r="CMX37" s="33"/>
      <c r="CNH37" s="33"/>
      <c r="CNR37" s="33"/>
      <c r="COB37" s="33"/>
      <c r="COL37" s="33"/>
      <c r="COV37" s="33"/>
      <c r="CPF37" s="33"/>
      <c r="CPP37" s="33"/>
      <c r="CPZ37" s="33"/>
      <c r="CQJ37" s="33"/>
      <c r="CQT37" s="33"/>
      <c r="CRD37" s="33"/>
      <c r="CRN37" s="33"/>
      <c r="CRX37" s="33"/>
      <c r="CSH37" s="33"/>
      <c r="CSR37" s="33"/>
      <c r="CTB37" s="33"/>
      <c r="CTL37" s="33"/>
      <c r="CTV37" s="33"/>
    </row>
    <row r="38" s="16" customFormat="1" customHeight="1" spans="1:1020 1030:2040 2050:2570">
      <c r="A38" s="57"/>
      <c r="B38" s="36"/>
      <c r="C38" s="8"/>
      <c r="D38" s="52"/>
      <c r="E38" s="52"/>
      <c r="F38" s="58" t="str">
        <f>IFERROR(VLOOKUP(E38,日报!E:G,2,0),"")</f>
        <v/>
      </c>
      <c r="G38" s="52"/>
      <c r="H38" s="53" t="str">
        <f>IFERROR(VLOOKUP(E38,基础数据!$E$4:$H$4,4,0),"")</f>
        <v/>
      </c>
      <c r="I38" s="53" t="str">
        <f>IFERROR(VLOOKUP(E38,基础数据!$E$4:$H$4,3,0),"")</f>
        <v/>
      </c>
      <c r="J38" s="52"/>
      <c r="K38" s="54" t="str">
        <f t="shared" si="0"/>
        <v/>
      </c>
      <c r="T38" s="33"/>
      <c r="AD38" s="33"/>
      <c r="AN38" s="33"/>
      <c r="AX38" s="33"/>
      <c r="BH38" s="33"/>
      <c r="BR38" s="33"/>
      <c r="CB38" s="33"/>
      <c r="CL38" s="33"/>
      <c r="CV38" s="33"/>
      <c r="DF38" s="33"/>
      <c r="DP38" s="33"/>
      <c r="DZ38" s="33"/>
      <c r="EJ38" s="33"/>
      <c r="ET38" s="33"/>
      <c r="FD38" s="33"/>
      <c r="FN38" s="33"/>
      <c r="FX38" s="33"/>
      <c r="GH38" s="33"/>
      <c r="GR38" s="33"/>
      <c r="HB38" s="33"/>
      <c r="HL38" s="33"/>
      <c r="HV38" s="33"/>
      <c r="IF38" s="33"/>
      <c r="IP38" s="33"/>
      <c r="IZ38" s="33"/>
      <c r="JJ38" s="33"/>
      <c r="JT38" s="33"/>
      <c r="KD38" s="33"/>
      <c r="KN38" s="33"/>
      <c r="KX38" s="33"/>
      <c r="LH38" s="33"/>
      <c r="LR38" s="33"/>
      <c r="MB38" s="33"/>
      <c r="ML38" s="33"/>
      <c r="MV38" s="33"/>
      <c r="NF38" s="33"/>
      <c r="NP38" s="33"/>
      <c r="NZ38" s="33"/>
      <c r="OJ38" s="33"/>
      <c r="OT38" s="33"/>
      <c r="PD38" s="33"/>
      <c r="PN38" s="33"/>
      <c r="PX38" s="33"/>
      <c r="QH38" s="33"/>
      <c r="QR38" s="33"/>
      <c r="RB38" s="33"/>
      <c r="RL38" s="33"/>
      <c r="RV38" s="33"/>
      <c r="SF38" s="33"/>
      <c r="SP38" s="33"/>
      <c r="SZ38" s="33"/>
      <c r="TJ38" s="33"/>
      <c r="TT38" s="33"/>
      <c r="UD38" s="33"/>
      <c r="UN38" s="33"/>
      <c r="UX38" s="33"/>
      <c r="VH38" s="33"/>
      <c r="VR38" s="33"/>
      <c r="WB38" s="33"/>
      <c r="WL38" s="33"/>
      <c r="WV38" s="33"/>
      <c r="XF38" s="33"/>
      <c r="XP38" s="33"/>
      <c r="XZ38" s="33"/>
      <c r="YJ38" s="33"/>
      <c r="YT38" s="33"/>
      <c r="ZD38" s="33"/>
      <c r="ZN38" s="33"/>
      <c r="ZX38" s="33"/>
      <c r="AAH38" s="33"/>
      <c r="AAR38" s="33"/>
      <c r="ABB38" s="33"/>
      <c r="ABL38" s="33"/>
      <c r="ABV38" s="33"/>
      <c r="ACF38" s="33"/>
      <c r="ACP38" s="33"/>
      <c r="ACZ38" s="33"/>
      <c r="ADJ38" s="33"/>
      <c r="ADT38" s="33"/>
      <c r="AED38" s="33"/>
      <c r="AEN38" s="33"/>
      <c r="AEX38" s="33"/>
      <c r="AFH38" s="33"/>
      <c r="AFR38" s="33"/>
      <c r="AGB38" s="33"/>
      <c r="AGL38" s="33"/>
      <c r="AGV38" s="33"/>
      <c r="AHF38" s="33"/>
      <c r="AHP38" s="33"/>
      <c r="AHZ38" s="33"/>
      <c r="AIJ38" s="33"/>
      <c r="AIT38" s="33"/>
      <c r="AJD38" s="33"/>
      <c r="AJN38" s="33"/>
      <c r="AJX38" s="33"/>
      <c r="AKH38" s="33"/>
      <c r="AKR38" s="33"/>
      <c r="ALB38" s="33"/>
      <c r="ALL38" s="33"/>
      <c r="ALV38" s="33"/>
      <c r="AMF38" s="33"/>
      <c r="AMP38" s="33"/>
      <c r="AMZ38" s="33"/>
      <c r="ANJ38" s="33"/>
      <c r="ANT38" s="33"/>
      <c r="AOD38" s="33"/>
      <c r="AON38" s="33"/>
      <c r="AOX38" s="33"/>
      <c r="APH38" s="33"/>
      <c r="APR38" s="33"/>
      <c r="AQB38" s="33"/>
      <c r="AQL38" s="33"/>
      <c r="AQV38" s="33"/>
      <c r="ARF38" s="33"/>
      <c r="ARP38" s="33"/>
      <c r="ARZ38" s="33"/>
      <c r="ASJ38" s="33"/>
      <c r="AST38" s="33"/>
      <c r="ATD38" s="33"/>
      <c r="ATN38" s="33"/>
      <c r="ATX38" s="33"/>
      <c r="AUH38" s="33"/>
      <c r="AUR38" s="33"/>
      <c r="AVB38" s="33"/>
      <c r="AVL38" s="33"/>
      <c r="AVV38" s="33"/>
      <c r="AWF38" s="33"/>
      <c r="AWP38" s="33"/>
      <c r="AWZ38" s="33"/>
      <c r="AXJ38" s="33"/>
      <c r="AXT38" s="33"/>
      <c r="AYD38" s="33"/>
      <c r="AYN38" s="33"/>
      <c r="AYX38" s="33"/>
      <c r="AZH38" s="33"/>
      <c r="AZR38" s="33"/>
      <c r="BAB38" s="33"/>
      <c r="BAL38" s="33"/>
      <c r="BAV38" s="33"/>
      <c r="BBF38" s="33"/>
      <c r="BBP38" s="33"/>
      <c r="BBZ38" s="33"/>
      <c r="BCJ38" s="33"/>
      <c r="BCT38" s="33"/>
      <c r="BDD38" s="33"/>
      <c r="BDN38" s="33"/>
      <c r="BDX38" s="33"/>
      <c r="BEH38" s="33"/>
      <c r="BER38" s="33"/>
      <c r="BFB38" s="33"/>
      <c r="BFL38" s="33"/>
      <c r="BFV38" s="33"/>
      <c r="BGF38" s="33"/>
      <c r="BGP38" s="33"/>
      <c r="BGZ38" s="33"/>
      <c r="BHJ38" s="33"/>
      <c r="BHT38" s="33"/>
      <c r="BID38" s="33"/>
      <c r="BIN38" s="33"/>
      <c r="BIX38" s="33"/>
      <c r="BJH38" s="33"/>
      <c r="BJR38" s="33"/>
      <c r="BKB38" s="33"/>
      <c r="BKL38" s="33"/>
      <c r="BKV38" s="33"/>
      <c r="BLF38" s="33"/>
      <c r="BLP38" s="33"/>
      <c r="BLZ38" s="33"/>
      <c r="BMJ38" s="33"/>
      <c r="BMT38" s="33"/>
      <c r="BND38" s="33"/>
      <c r="BNN38" s="33"/>
      <c r="BNX38" s="33"/>
      <c r="BOH38" s="33"/>
      <c r="BOR38" s="33"/>
      <c r="BPB38" s="33"/>
      <c r="BPL38" s="33"/>
      <c r="BPV38" s="33"/>
      <c r="BQF38" s="33"/>
      <c r="BQP38" s="33"/>
      <c r="BQZ38" s="33"/>
      <c r="BRJ38" s="33"/>
      <c r="BRT38" s="33"/>
      <c r="BSD38" s="33"/>
      <c r="BSN38" s="33"/>
      <c r="BSX38" s="33"/>
      <c r="BTH38" s="33"/>
      <c r="BTR38" s="33"/>
      <c r="BUB38" s="33"/>
      <c r="BUL38" s="33"/>
      <c r="BUV38" s="33"/>
      <c r="BVF38" s="33"/>
      <c r="BVP38" s="33"/>
      <c r="BVZ38" s="33"/>
      <c r="BWJ38" s="33"/>
      <c r="BWT38" s="33"/>
      <c r="BXD38" s="33"/>
      <c r="BXN38" s="33"/>
      <c r="BXX38" s="33"/>
      <c r="BYH38" s="33"/>
      <c r="BYR38" s="33"/>
      <c r="BZB38" s="33"/>
      <c r="BZL38" s="33"/>
      <c r="BZV38" s="33"/>
      <c r="CAF38" s="33"/>
      <c r="CAP38" s="33"/>
      <c r="CAZ38" s="33"/>
      <c r="CBJ38" s="33"/>
      <c r="CBT38" s="33"/>
      <c r="CCD38" s="33"/>
      <c r="CCN38" s="33"/>
      <c r="CCX38" s="33"/>
      <c r="CDH38" s="33"/>
      <c r="CDR38" s="33"/>
      <c r="CEB38" s="33"/>
      <c r="CEL38" s="33"/>
      <c r="CEV38" s="33"/>
      <c r="CFF38" s="33"/>
      <c r="CFP38" s="33"/>
      <c r="CFZ38" s="33"/>
      <c r="CGJ38" s="33"/>
      <c r="CGT38" s="33"/>
      <c r="CHD38" s="33"/>
      <c r="CHN38" s="33"/>
      <c r="CHX38" s="33"/>
      <c r="CIH38" s="33"/>
      <c r="CIR38" s="33"/>
      <c r="CJB38" s="33"/>
      <c r="CJL38" s="33"/>
      <c r="CJV38" s="33"/>
      <c r="CKF38" s="33"/>
      <c r="CKP38" s="33"/>
      <c r="CKZ38" s="33"/>
      <c r="CLJ38" s="33"/>
      <c r="CLT38" s="33"/>
      <c r="CMD38" s="33"/>
      <c r="CMN38" s="33"/>
      <c r="CMX38" s="33"/>
      <c r="CNH38" s="33"/>
      <c r="CNR38" s="33"/>
      <c r="COB38" s="33"/>
      <c r="COL38" s="33"/>
      <c r="COV38" s="33"/>
      <c r="CPF38" s="33"/>
      <c r="CPP38" s="33"/>
      <c r="CPZ38" s="33"/>
      <c r="CQJ38" s="33"/>
      <c r="CQT38" s="33"/>
      <c r="CRD38" s="33"/>
      <c r="CRN38" s="33"/>
      <c r="CRX38" s="33"/>
      <c r="CSH38" s="33"/>
      <c r="CSR38" s="33"/>
      <c r="CTB38" s="33"/>
      <c r="CTL38" s="33"/>
      <c r="CTV38" s="33"/>
    </row>
    <row r="39" s="16" customFormat="1" customHeight="1" spans="1:1020 1030:2040 2050:2570">
      <c r="A39" s="57"/>
      <c r="B39" s="52"/>
      <c r="C39" s="52"/>
      <c r="D39" s="52"/>
      <c r="E39" s="52"/>
      <c r="F39" s="58" t="str">
        <f>IFERROR(VLOOKUP(E39,日报!E:G,2,0),"")</f>
        <v/>
      </c>
      <c r="G39" s="52"/>
      <c r="H39" s="53" t="str">
        <f>IFERROR(VLOOKUP(E39,基础数据!$E$4:$H$4,4,0),"")</f>
        <v/>
      </c>
      <c r="I39" s="53" t="str">
        <f>IFERROR(VLOOKUP(E39,基础数据!$E$4:$H$4,3,0),"")</f>
        <v/>
      </c>
      <c r="J39" s="52"/>
      <c r="K39" s="54" t="str">
        <f t="shared" si="0"/>
        <v/>
      </c>
      <c r="T39" s="33"/>
      <c r="AD39" s="33"/>
      <c r="AN39" s="33"/>
      <c r="AX39" s="33"/>
      <c r="BH39" s="33"/>
      <c r="BR39" s="33"/>
      <c r="CB39" s="33"/>
      <c r="CL39" s="33"/>
      <c r="CV39" s="33"/>
      <c r="DF39" s="33"/>
      <c r="DP39" s="33"/>
      <c r="DZ39" s="33"/>
      <c r="EJ39" s="33"/>
      <c r="ET39" s="33"/>
      <c r="FD39" s="33"/>
      <c r="FN39" s="33"/>
      <c r="FX39" s="33"/>
      <c r="GH39" s="33"/>
      <c r="GR39" s="33"/>
      <c r="HB39" s="33"/>
      <c r="HL39" s="33"/>
      <c r="HV39" s="33"/>
      <c r="IF39" s="33"/>
      <c r="IP39" s="33"/>
      <c r="IZ39" s="33"/>
      <c r="JJ39" s="33"/>
      <c r="JT39" s="33"/>
      <c r="KD39" s="33"/>
      <c r="KN39" s="33"/>
      <c r="KX39" s="33"/>
      <c r="LH39" s="33"/>
      <c r="LR39" s="33"/>
      <c r="MB39" s="33"/>
      <c r="ML39" s="33"/>
      <c r="MV39" s="33"/>
      <c r="NF39" s="33"/>
      <c r="NP39" s="33"/>
      <c r="NZ39" s="33"/>
      <c r="OJ39" s="33"/>
      <c r="OT39" s="33"/>
      <c r="PD39" s="33"/>
      <c r="PN39" s="33"/>
      <c r="PX39" s="33"/>
      <c r="QH39" s="33"/>
      <c r="QR39" s="33"/>
      <c r="RB39" s="33"/>
      <c r="RL39" s="33"/>
      <c r="RV39" s="33"/>
      <c r="SF39" s="33"/>
      <c r="SP39" s="33"/>
      <c r="SZ39" s="33"/>
      <c r="TJ39" s="33"/>
      <c r="TT39" s="33"/>
      <c r="UD39" s="33"/>
      <c r="UN39" s="33"/>
      <c r="UX39" s="33"/>
      <c r="VH39" s="33"/>
      <c r="VR39" s="33"/>
      <c r="WB39" s="33"/>
      <c r="WL39" s="33"/>
      <c r="WV39" s="33"/>
      <c r="XF39" s="33"/>
      <c r="XP39" s="33"/>
      <c r="XZ39" s="33"/>
      <c r="YJ39" s="33"/>
      <c r="YT39" s="33"/>
      <c r="ZD39" s="33"/>
      <c r="ZN39" s="33"/>
      <c r="ZX39" s="33"/>
      <c r="AAH39" s="33"/>
      <c r="AAR39" s="33"/>
      <c r="ABB39" s="33"/>
      <c r="ABL39" s="33"/>
      <c r="ABV39" s="33"/>
      <c r="ACF39" s="33"/>
      <c r="ACP39" s="33"/>
      <c r="ACZ39" s="33"/>
      <c r="ADJ39" s="33"/>
      <c r="ADT39" s="33"/>
      <c r="AED39" s="33"/>
      <c r="AEN39" s="33"/>
      <c r="AEX39" s="33"/>
      <c r="AFH39" s="33"/>
      <c r="AFR39" s="33"/>
      <c r="AGB39" s="33"/>
      <c r="AGL39" s="33"/>
      <c r="AGV39" s="33"/>
      <c r="AHF39" s="33"/>
      <c r="AHP39" s="33"/>
      <c r="AHZ39" s="33"/>
      <c r="AIJ39" s="33"/>
      <c r="AIT39" s="33"/>
      <c r="AJD39" s="33"/>
      <c r="AJN39" s="33"/>
      <c r="AJX39" s="33"/>
      <c r="AKH39" s="33"/>
      <c r="AKR39" s="33"/>
      <c r="ALB39" s="33"/>
      <c r="ALL39" s="33"/>
      <c r="ALV39" s="33"/>
      <c r="AMF39" s="33"/>
      <c r="AMP39" s="33"/>
      <c r="AMZ39" s="33"/>
      <c r="ANJ39" s="33"/>
      <c r="ANT39" s="33"/>
      <c r="AOD39" s="33"/>
      <c r="AON39" s="33"/>
      <c r="AOX39" s="33"/>
      <c r="APH39" s="33"/>
      <c r="APR39" s="33"/>
      <c r="AQB39" s="33"/>
      <c r="AQL39" s="33"/>
      <c r="AQV39" s="33"/>
      <c r="ARF39" s="33"/>
      <c r="ARP39" s="33"/>
      <c r="ARZ39" s="33"/>
      <c r="ASJ39" s="33"/>
      <c r="AST39" s="33"/>
      <c r="ATD39" s="33"/>
      <c r="ATN39" s="33"/>
      <c r="ATX39" s="33"/>
      <c r="AUH39" s="33"/>
      <c r="AUR39" s="33"/>
      <c r="AVB39" s="33"/>
      <c r="AVL39" s="33"/>
      <c r="AVV39" s="33"/>
      <c r="AWF39" s="33"/>
      <c r="AWP39" s="33"/>
      <c r="AWZ39" s="33"/>
      <c r="AXJ39" s="33"/>
      <c r="AXT39" s="33"/>
      <c r="AYD39" s="33"/>
      <c r="AYN39" s="33"/>
      <c r="AYX39" s="33"/>
      <c r="AZH39" s="33"/>
      <c r="AZR39" s="33"/>
      <c r="BAB39" s="33"/>
      <c r="BAL39" s="33"/>
      <c r="BAV39" s="33"/>
      <c r="BBF39" s="33"/>
      <c r="BBP39" s="33"/>
      <c r="BBZ39" s="33"/>
      <c r="BCJ39" s="33"/>
      <c r="BCT39" s="33"/>
      <c r="BDD39" s="33"/>
      <c r="BDN39" s="33"/>
      <c r="BDX39" s="33"/>
      <c r="BEH39" s="33"/>
      <c r="BER39" s="33"/>
      <c r="BFB39" s="33"/>
      <c r="BFL39" s="33"/>
      <c r="BFV39" s="33"/>
      <c r="BGF39" s="33"/>
      <c r="BGP39" s="33"/>
      <c r="BGZ39" s="33"/>
      <c r="BHJ39" s="33"/>
      <c r="BHT39" s="33"/>
      <c r="BID39" s="33"/>
      <c r="BIN39" s="33"/>
      <c r="BIX39" s="33"/>
      <c r="BJH39" s="33"/>
      <c r="BJR39" s="33"/>
      <c r="BKB39" s="33"/>
      <c r="BKL39" s="33"/>
      <c r="BKV39" s="33"/>
      <c r="BLF39" s="33"/>
      <c r="BLP39" s="33"/>
      <c r="BLZ39" s="33"/>
      <c r="BMJ39" s="33"/>
      <c r="BMT39" s="33"/>
      <c r="BND39" s="33"/>
      <c r="BNN39" s="33"/>
      <c r="BNX39" s="33"/>
      <c r="BOH39" s="33"/>
      <c r="BOR39" s="33"/>
      <c r="BPB39" s="33"/>
      <c r="BPL39" s="33"/>
      <c r="BPV39" s="33"/>
      <c r="BQF39" s="33"/>
      <c r="BQP39" s="33"/>
      <c r="BQZ39" s="33"/>
      <c r="BRJ39" s="33"/>
      <c r="BRT39" s="33"/>
      <c r="BSD39" s="33"/>
      <c r="BSN39" s="33"/>
      <c r="BSX39" s="33"/>
      <c r="BTH39" s="33"/>
      <c r="BTR39" s="33"/>
      <c r="BUB39" s="33"/>
      <c r="BUL39" s="33"/>
      <c r="BUV39" s="33"/>
      <c r="BVF39" s="33"/>
      <c r="BVP39" s="33"/>
      <c r="BVZ39" s="33"/>
      <c r="BWJ39" s="33"/>
      <c r="BWT39" s="33"/>
      <c r="BXD39" s="33"/>
      <c r="BXN39" s="33"/>
      <c r="BXX39" s="33"/>
      <c r="BYH39" s="33"/>
      <c r="BYR39" s="33"/>
      <c r="BZB39" s="33"/>
      <c r="BZL39" s="33"/>
      <c r="BZV39" s="33"/>
      <c r="CAF39" s="33"/>
      <c r="CAP39" s="33"/>
      <c r="CAZ39" s="33"/>
      <c r="CBJ39" s="33"/>
      <c r="CBT39" s="33"/>
      <c r="CCD39" s="33"/>
      <c r="CCN39" s="33"/>
      <c r="CCX39" s="33"/>
      <c r="CDH39" s="33"/>
      <c r="CDR39" s="33"/>
      <c r="CEB39" s="33"/>
      <c r="CEL39" s="33"/>
      <c r="CEV39" s="33"/>
      <c r="CFF39" s="33"/>
      <c r="CFP39" s="33"/>
      <c r="CFZ39" s="33"/>
      <c r="CGJ39" s="33"/>
      <c r="CGT39" s="33"/>
      <c r="CHD39" s="33"/>
      <c r="CHN39" s="33"/>
      <c r="CHX39" s="33"/>
      <c r="CIH39" s="33"/>
      <c r="CIR39" s="33"/>
      <c r="CJB39" s="33"/>
      <c r="CJL39" s="33"/>
      <c r="CJV39" s="33"/>
      <c r="CKF39" s="33"/>
      <c r="CKP39" s="33"/>
      <c r="CKZ39" s="33"/>
      <c r="CLJ39" s="33"/>
      <c r="CLT39" s="33"/>
      <c r="CMD39" s="33"/>
      <c r="CMN39" s="33"/>
      <c r="CMX39" s="33"/>
      <c r="CNH39" s="33"/>
      <c r="CNR39" s="33"/>
      <c r="COB39" s="33"/>
      <c r="COL39" s="33"/>
      <c r="COV39" s="33"/>
      <c r="CPF39" s="33"/>
      <c r="CPP39" s="33"/>
      <c r="CPZ39" s="33"/>
      <c r="CQJ39" s="33"/>
      <c r="CQT39" s="33"/>
      <c r="CRD39" s="33"/>
      <c r="CRN39" s="33"/>
      <c r="CRX39" s="33"/>
      <c r="CSH39" s="33"/>
      <c r="CSR39" s="33"/>
      <c r="CTB39" s="33"/>
      <c r="CTL39" s="33"/>
      <c r="CTV39" s="33"/>
    </row>
    <row r="40" s="16" customFormat="1" customHeight="1" spans="1:1020 1030:2040 2050:2570">
      <c r="A40" s="57"/>
      <c r="B40" s="52"/>
      <c r="C40" s="52"/>
      <c r="D40" s="52"/>
      <c r="E40" s="52"/>
      <c r="F40" s="58" t="str">
        <f>IFERROR(VLOOKUP(E40,日报!E:G,2,0),"")</f>
        <v/>
      </c>
      <c r="G40" s="52"/>
      <c r="H40" s="53" t="str">
        <f>IFERROR(VLOOKUP(E40,基础数据!$E$4:$H$4,4,0),"")</f>
        <v/>
      </c>
      <c r="I40" s="53" t="str">
        <f>IFERROR(VLOOKUP(E40,基础数据!$E$4:$H$4,3,0),"")</f>
        <v/>
      </c>
      <c r="J40" s="52"/>
      <c r="K40" s="54" t="str">
        <f t="shared" si="0"/>
        <v/>
      </c>
      <c r="T40" s="33"/>
      <c r="AD40" s="33"/>
      <c r="AN40" s="33"/>
      <c r="AX40" s="33"/>
      <c r="BH40" s="33"/>
      <c r="BR40" s="33"/>
      <c r="CB40" s="33"/>
      <c r="CL40" s="33"/>
      <c r="CV40" s="33"/>
      <c r="DF40" s="33"/>
      <c r="DP40" s="33"/>
      <c r="DZ40" s="33"/>
      <c r="EJ40" s="33"/>
      <c r="ET40" s="33"/>
      <c r="FD40" s="33"/>
      <c r="FN40" s="33"/>
      <c r="FX40" s="33"/>
      <c r="GH40" s="33"/>
      <c r="GR40" s="33"/>
      <c r="HB40" s="33"/>
      <c r="HL40" s="33"/>
      <c r="HV40" s="33"/>
      <c r="IF40" s="33"/>
      <c r="IP40" s="33"/>
      <c r="IZ40" s="33"/>
      <c r="JJ40" s="33"/>
      <c r="JT40" s="33"/>
      <c r="KD40" s="33"/>
      <c r="KN40" s="33"/>
      <c r="KX40" s="33"/>
      <c r="LH40" s="33"/>
      <c r="LR40" s="33"/>
      <c r="MB40" s="33"/>
      <c r="ML40" s="33"/>
      <c r="MV40" s="33"/>
      <c r="NF40" s="33"/>
      <c r="NP40" s="33"/>
      <c r="NZ40" s="33"/>
      <c r="OJ40" s="33"/>
      <c r="OT40" s="33"/>
      <c r="PD40" s="33"/>
      <c r="PN40" s="33"/>
      <c r="PX40" s="33"/>
      <c r="QH40" s="33"/>
      <c r="QR40" s="33"/>
      <c r="RB40" s="33"/>
      <c r="RL40" s="33"/>
      <c r="RV40" s="33"/>
      <c r="SF40" s="33"/>
      <c r="SP40" s="33"/>
      <c r="SZ40" s="33"/>
      <c r="TJ40" s="33"/>
      <c r="TT40" s="33"/>
      <c r="UD40" s="33"/>
      <c r="UN40" s="33"/>
      <c r="UX40" s="33"/>
      <c r="VH40" s="33"/>
      <c r="VR40" s="33"/>
      <c r="WB40" s="33"/>
      <c r="WL40" s="33"/>
      <c r="WV40" s="33"/>
      <c r="XF40" s="33"/>
      <c r="XP40" s="33"/>
      <c r="XZ40" s="33"/>
      <c r="YJ40" s="33"/>
      <c r="YT40" s="33"/>
      <c r="ZD40" s="33"/>
      <c r="ZN40" s="33"/>
      <c r="ZX40" s="33"/>
      <c r="AAH40" s="33"/>
      <c r="AAR40" s="33"/>
      <c r="ABB40" s="33"/>
      <c r="ABL40" s="33"/>
      <c r="ABV40" s="33"/>
      <c r="ACF40" s="33"/>
      <c r="ACP40" s="33"/>
      <c r="ACZ40" s="33"/>
      <c r="ADJ40" s="33"/>
      <c r="ADT40" s="33"/>
      <c r="AED40" s="33"/>
      <c r="AEN40" s="33"/>
      <c r="AEX40" s="33"/>
      <c r="AFH40" s="33"/>
      <c r="AFR40" s="33"/>
      <c r="AGB40" s="33"/>
      <c r="AGL40" s="33"/>
      <c r="AGV40" s="33"/>
      <c r="AHF40" s="33"/>
      <c r="AHP40" s="33"/>
      <c r="AHZ40" s="33"/>
      <c r="AIJ40" s="33"/>
      <c r="AIT40" s="33"/>
      <c r="AJD40" s="33"/>
      <c r="AJN40" s="33"/>
      <c r="AJX40" s="33"/>
      <c r="AKH40" s="33"/>
      <c r="AKR40" s="33"/>
      <c r="ALB40" s="33"/>
      <c r="ALL40" s="33"/>
      <c r="ALV40" s="33"/>
      <c r="AMF40" s="33"/>
      <c r="AMP40" s="33"/>
      <c r="AMZ40" s="33"/>
      <c r="ANJ40" s="33"/>
      <c r="ANT40" s="33"/>
      <c r="AOD40" s="33"/>
      <c r="AON40" s="33"/>
      <c r="AOX40" s="33"/>
      <c r="APH40" s="33"/>
      <c r="APR40" s="33"/>
      <c r="AQB40" s="33"/>
      <c r="AQL40" s="33"/>
      <c r="AQV40" s="33"/>
      <c r="ARF40" s="33"/>
      <c r="ARP40" s="33"/>
      <c r="ARZ40" s="33"/>
      <c r="ASJ40" s="33"/>
      <c r="AST40" s="33"/>
      <c r="ATD40" s="33"/>
      <c r="ATN40" s="33"/>
      <c r="ATX40" s="33"/>
      <c r="AUH40" s="33"/>
      <c r="AUR40" s="33"/>
      <c r="AVB40" s="33"/>
      <c r="AVL40" s="33"/>
      <c r="AVV40" s="33"/>
      <c r="AWF40" s="33"/>
      <c r="AWP40" s="33"/>
      <c r="AWZ40" s="33"/>
      <c r="AXJ40" s="33"/>
      <c r="AXT40" s="33"/>
      <c r="AYD40" s="33"/>
      <c r="AYN40" s="33"/>
      <c r="AYX40" s="33"/>
      <c r="AZH40" s="33"/>
      <c r="AZR40" s="33"/>
      <c r="BAB40" s="33"/>
      <c r="BAL40" s="33"/>
      <c r="BAV40" s="33"/>
      <c r="BBF40" s="33"/>
      <c r="BBP40" s="33"/>
      <c r="BBZ40" s="33"/>
      <c r="BCJ40" s="33"/>
      <c r="BCT40" s="33"/>
      <c r="BDD40" s="33"/>
      <c r="BDN40" s="33"/>
      <c r="BDX40" s="33"/>
      <c r="BEH40" s="33"/>
      <c r="BER40" s="33"/>
      <c r="BFB40" s="33"/>
      <c r="BFL40" s="33"/>
      <c r="BFV40" s="33"/>
      <c r="BGF40" s="33"/>
      <c r="BGP40" s="33"/>
      <c r="BGZ40" s="33"/>
      <c r="BHJ40" s="33"/>
      <c r="BHT40" s="33"/>
      <c r="BID40" s="33"/>
      <c r="BIN40" s="33"/>
      <c r="BIX40" s="33"/>
      <c r="BJH40" s="33"/>
      <c r="BJR40" s="33"/>
      <c r="BKB40" s="33"/>
      <c r="BKL40" s="33"/>
      <c r="BKV40" s="33"/>
      <c r="BLF40" s="33"/>
      <c r="BLP40" s="33"/>
      <c r="BLZ40" s="33"/>
      <c r="BMJ40" s="33"/>
      <c r="BMT40" s="33"/>
      <c r="BND40" s="33"/>
      <c r="BNN40" s="33"/>
      <c r="BNX40" s="33"/>
      <c r="BOH40" s="33"/>
      <c r="BOR40" s="33"/>
      <c r="BPB40" s="33"/>
      <c r="BPL40" s="33"/>
      <c r="BPV40" s="33"/>
      <c r="BQF40" s="33"/>
      <c r="BQP40" s="33"/>
      <c r="BQZ40" s="33"/>
      <c r="BRJ40" s="33"/>
      <c r="BRT40" s="33"/>
      <c r="BSD40" s="33"/>
      <c r="BSN40" s="33"/>
      <c r="BSX40" s="33"/>
      <c r="BTH40" s="33"/>
      <c r="BTR40" s="33"/>
      <c r="BUB40" s="33"/>
      <c r="BUL40" s="33"/>
      <c r="BUV40" s="33"/>
      <c r="BVF40" s="33"/>
      <c r="BVP40" s="33"/>
      <c r="BVZ40" s="33"/>
      <c r="BWJ40" s="33"/>
      <c r="BWT40" s="33"/>
      <c r="BXD40" s="33"/>
      <c r="BXN40" s="33"/>
      <c r="BXX40" s="33"/>
      <c r="BYH40" s="33"/>
      <c r="BYR40" s="33"/>
      <c r="BZB40" s="33"/>
      <c r="BZL40" s="33"/>
      <c r="BZV40" s="33"/>
      <c r="CAF40" s="33"/>
      <c r="CAP40" s="33"/>
      <c r="CAZ40" s="33"/>
      <c r="CBJ40" s="33"/>
      <c r="CBT40" s="33"/>
      <c r="CCD40" s="33"/>
      <c r="CCN40" s="33"/>
      <c r="CCX40" s="33"/>
      <c r="CDH40" s="33"/>
      <c r="CDR40" s="33"/>
      <c r="CEB40" s="33"/>
      <c r="CEL40" s="33"/>
      <c r="CEV40" s="33"/>
      <c r="CFF40" s="33"/>
      <c r="CFP40" s="33"/>
      <c r="CFZ40" s="33"/>
      <c r="CGJ40" s="33"/>
      <c r="CGT40" s="33"/>
      <c r="CHD40" s="33"/>
      <c r="CHN40" s="33"/>
      <c r="CHX40" s="33"/>
      <c r="CIH40" s="33"/>
      <c r="CIR40" s="33"/>
      <c r="CJB40" s="33"/>
      <c r="CJL40" s="33"/>
      <c r="CJV40" s="33"/>
      <c r="CKF40" s="33"/>
      <c r="CKP40" s="33"/>
      <c r="CKZ40" s="33"/>
      <c r="CLJ40" s="33"/>
      <c r="CLT40" s="33"/>
      <c r="CMD40" s="33"/>
      <c r="CMN40" s="33"/>
      <c r="CMX40" s="33"/>
      <c r="CNH40" s="33"/>
      <c r="CNR40" s="33"/>
      <c r="COB40" s="33"/>
      <c r="COL40" s="33"/>
      <c r="COV40" s="33"/>
      <c r="CPF40" s="33"/>
      <c r="CPP40" s="33"/>
      <c r="CPZ40" s="33"/>
      <c r="CQJ40" s="33"/>
      <c r="CQT40" s="33"/>
      <c r="CRD40" s="33"/>
      <c r="CRN40" s="33"/>
      <c r="CRX40" s="33"/>
      <c r="CSH40" s="33"/>
      <c r="CSR40" s="33"/>
      <c r="CTB40" s="33"/>
      <c r="CTL40" s="33"/>
      <c r="CTV40" s="33"/>
    </row>
    <row r="41" s="16" customFormat="1" customHeight="1" spans="1:1020 1030:2040 2050:2570">
      <c r="A41" s="57"/>
      <c r="B41" s="52"/>
      <c r="C41" s="52"/>
      <c r="D41" s="52"/>
      <c r="E41" s="52"/>
      <c r="F41" s="58" t="str">
        <f>IFERROR(VLOOKUP(E41,日报!E:G,2,0),"")</f>
        <v/>
      </c>
      <c r="G41" s="52"/>
      <c r="H41" s="53" t="str">
        <f>IFERROR(VLOOKUP(E41,基础数据!$E$4:$H$4,4,0),"")</f>
        <v/>
      </c>
      <c r="I41" s="53" t="str">
        <f>IFERROR(VLOOKUP(E41,基础数据!$E$4:$H$4,3,0),"")</f>
        <v/>
      </c>
      <c r="J41" s="52"/>
      <c r="K41" s="54" t="str">
        <f t="shared" si="0"/>
        <v/>
      </c>
      <c r="T41" s="33"/>
      <c r="AD41" s="33"/>
      <c r="AN41" s="33"/>
      <c r="AX41" s="33"/>
      <c r="BH41" s="33"/>
      <c r="BR41" s="33"/>
      <c r="CB41" s="33"/>
      <c r="CL41" s="33"/>
      <c r="CV41" s="33"/>
      <c r="DF41" s="33"/>
      <c r="DP41" s="33"/>
      <c r="DZ41" s="33"/>
      <c r="EJ41" s="33"/>
      <c r="ET41" s="33"/>
      <c r="FD41" s="33"/>
      <c r="FN41" s="33"/>
      <c r="FX41" s="33"/>
      <c r="GH41" s="33"/>
      <c r="GR41" s="33"/>
      <c r="HB41" s="33"/>
      <c r="HL41" s="33"/>
      <c r="HV41" s="33"/>
      <c r="IF41" s="33"/>
      <c r="IP41" s="33"/>
      <c r="IZ41" s="33"/>
      <c r="JJ41" s="33"/>
      <c r="JT41" s="33"/>
      <c r="KD41" s="33"/>
      <c r="KN41" s="33"/>
      <c r="KX41" s="33"/>
      <c r="LH41" s="33"/>
      <c r="LR41" s="33"/>
      <c r="MB41" s="33"/>
      <c r="ML41" s="33"/>
      <c r="MV41" s="33"/>
      <c r="NF41" s="33"/>
      <c r="NP41" s="33"/>
      <c r="NZ41" s="33"/>
      <c r="OJ41" s="33"/>
      <c r="OT41" s="33"/>
      <c r="PD41" s="33"/>
      <c r="PN41" s="33"/>
      <c r="PX41" s="33"/>
      <c r="QH41" s="33"/>
      <c r="QR41" s="33"/>
      <c r="RB41" s="33"/>
      <c r="RL41" s="33"/>
      <c r="RV41" s="33"/>
      <c r="SF41" s="33"/>
      <c r="SP41" s="33"/>
      <c r="SZ41" s="33"/>
      <c r="TJ41" s="33"/>
      <c r="TT41" s="33"/>
      <c r="UD41" s="33"/>
      <c r="UN41" s="33"/>
      <c r="UX41" s="33"/>
      <c r="VH41" s="33"/>
      <c r="VR41" s="33"/>
      <c r="WB41" s="33"/>
      <c r="WL41" s="33"/>
      <c r="WV41" s="33"/>
      <c r="XF41" s="33"/>
      <c r="XP41" s="33"/>
      <c r="XZ41" s="33"/>
      <c r="YJ41" s="33"/>
      <c r="YT41" s="33"/>
      <c r="ZD41" s="33"/>
      <c r="ZN41" s="33"/>
      <c r="ZX41" s="33"/>
      <c r="AAH41" s="33"/>
      <c r="AAR41" s="33"/>
      <c r="ABB41" s="33"/>
      <c r="ABL41" s="33"/>
      <c r="ABV41" s="33"/>
      <c r="ACF41" s="33"/>
      <c r="ACP41" s="33"/>
      <c r="ACZ41" s="33"/>
      <c r="ADJ41" s="33"/>
      <c r="ADT41" s="33"/>
      <c r="AED41" s="33"/>
      <c r="AEN41" s="33"/>
      <c r="AEX41" s="33"/>
      <c r="AFH41" s="33"/>
      <c r="AFR41" s="33"/>
      <c r="AGB41" s="33"/>
      <c r="AGL41" s="33"/>
      <c r="AGV41" s="33"/>
      <c r="AHF41" s="33"/>
      <c r="AHP41" s="33"/>
      <c r="AHZ41" s="33"/>
      <c r="AIJ41" s="33"/>
      <c r="AIT41" s="33"/>
      <c r="AJD41" s="33"/>
      <c r="AJN41" s="33"/>
      <c r="AJX41" s="33"/>
      <c r="AKH41" s="33"/>
      <c r="AKR41" s="33"/>
      <c r="ALB41" s="33"/>
      <c r="ALL41" s="33"/>
      <c r="ALV41" s="33"/>
      <c r="AMF41" s="33"/>
      <c r="AMP41" s="33"/>
      <c r="AMZ41" s="33"/>
      <c r="ANJ41" s="33"/>
      <c r="ANT41" s="33"/>
      <c r="AOD41" s="33"/>
      <c r="AON41" s="33"/>
      <c r="AOX41" s="33"/>
      <c r="APH41" s="33"/>
      <c r="APR41" s="33"/>
      <c r="AQB41" s="33"/>
      <c r="AQL41" s="33"/>
      <c r="AQV41" s="33"/>
      <c r="ARF41" s="33"/>
      <c r="ARP41" s="33"/>
      <c r="ARZ41" s="33"/>
      <c r="ASJ41" s="33"/>
      <c r="AST41" s="33"/>
      <c r="ATD41" s="33"/>
      <c r="ATN41" s="33"/>
      <c r="ATX41" s="33"/>
      <c r="AUH41" s="33"/>
      <c r="AUR41" s="33"/>
      <c r="AVB41" s="33"/>
      <c r="AVL41" s="33"/>
      <c r="AVV41" s="33"/>
      <c r="AWF41" s="33"/>
      <c r="AWP41" s="33"/>
      <c r="AWZ41" s="33"/>
      <c r="AXJ41" s="33"/>
      <c r="AXT41" s="33"/>
      <c r="AYD41" s="33"/>
      <c r="AYN41" s="33"/>
      <c r="AYX41" s="33"/>
      <c r="AZH41" s="33"/>
      <c r="AZR41" s="33"/>
      <c r="BAB41" s="33"/>
      <c r="BAL41" s="33"/>
      <c r="BAV41" s="33"/>
      <c r="BBF41" s="33"/>
      <c r="BBP41" s="33"/>
      <c r="BBZ41" s="33"/>
      <c r="BCJ41" s="33"/>
      <c r="BCT41" s="33"/>
      <c r="BDD41" s="33"/>
      <c r="BDN41" s="33"/>
      <c r="BDX41" s="33"/>
      <c r="BEH41" s="33"/>
      <c r="BER41" s="33"/>
      <c r="BFB41" s="33"/>
      <c r="BFL41" s="33"/>
      <c r="BFV41" s="33"/>
      <c r="BGF41" s="33"/>
      <c r="BGP41" s="33"/>
      <c r="BGZ41" s="33"/>
      <c r="BHJ41" s="33"/>
      <c r="BHT41" s="33"/>
      <c r="BID41" s="33"/>
      <c r="BIN41" s="33"/>
      <c r="BIX41" s="33"/>
      <c r="BJH41" s="33"/>
      <c r="BJR41" s="33"/>
      <c r="BKB41" s="33"/>
      <c r="BKL41" s="33"/>
      <c r="BKV41" s="33"/>
      <c r="BLF41" s="33"/>
      <c r="BLP41" s="33"/>
      <c r="BLZ41" s="33"/>
      <c r="BMJ41" s="33"/>
      <c r="BMT41" s="33"/>
      <c r="BND41" s="33"/>
      <c r="BNN41" s="33"/>
      <c r="BNX41" s="33"/>
      <c r="BOH41" s="33"/>
      <c r="BOR41" s="33"/>
      <c r="BPB41" s="33"/>
      <c r="BPL41" s="33"/>
      <c r="BPV41" s="33"/>
      <c r="BQF41" s="33"/>
      <c r="BQP41" s="33"/>
      <c r="BQZ41" s="33"/>
      <c r="BRJ41" s="33"/>
      <c r="BRT41" s="33"/>
      <c r="BSD41" s="33"/>
      <c r="BSN41" s="33"/>
      <c r="BSX41" s="33"/>
      <c r="BTH41" s="33"/>
      <c r="BTR41" s="33"/>
      <c r="BUB41" s="33"/>
      <c r="BUL41" s="33"/>
      <c r="BUV41" s="33"/>
      <c r="BVF41" s="33"/>
      <c r="BVP41" s="33"/>
      <c r="BVZ41" s="33"/>
      <c r="BWJ41" s="33"/>
      <c r="BWT41" s="33"/>
      <c r="BXD41" s="33"/>
      <c r="BXN41" s="33"/>
      <c r="BXX41" s="33"/>
      <c r="BYH41" s="33"/>
      <c r="BYR41" s="33"/>
      <c r="BZB41" s="33"/>
      <c r="BZL41" s="33"/>
      <c r="BZV41" s="33"/>
      <c r="CAF41" s="33"/>
      <c r="CAP41" s="33"/>
      <c r="CAZ41" s="33"/>
      <c r="CBJ41" s="33"/>
      <c r="CBT41" s="33"/>
      <c r="CCD41" s="33"/>
      <c r="CCN41" s="33"/>
      <c r="CCX41" s="33"/>
      <c r="CDH41" s="33"/>
      <c r="CDR41" s="33"/>
      <c r="CEB41" s="33"/>
      <c r="CEL41" s="33"/>
      <c r="CEV41" s="33"/>
      <c r="CFF41" s="33"/>
      <c r="CFP41" s="33"/>
      <c r="CFZ41" s="33"/>
      <c r="CGJ41" s="33"/>
      <c r="CGT41" s="33"/>
      <c r="CHD41" s="33"/>
      <c r="CHN41" s="33"/>
      <c r="CHX41" s="33"/>
      <c r="CIH41" s="33"/>
      <c r="CIR41" s="33"/>
      <c r="CJB41" s="33"/>
      <c r="CJL41" s="33"/>
      <c r="CJV41" s="33"/>
      <c r="CKF41" s="33"/>
      <c r="CKP41" s="33"/>
      <c r="CKZ41" s="33"/>
      <c r="CLJ41" s="33"/>
      <c r="CLT41" s="33"/>
      <c r="CMD41" s="33"/>
      <c r="CMN41" s="33"/>
      <c r="CMX41" s="33"/>
      <c r="CNH41" s="33"/>
      <c r="CNR41" s="33"/>
      <c r="COB41" s="33"/>
      <c r="COL41" s="33"/>
      <c r="COV41" s="33"/>
      <c r="CPF41" s="33"/>
      <c r="CPP41" s="33"/>
      <c r="CPZ41" s="33"/>
      <c r="CQJ41" s="33"/>
      <c r="CQT41" s="33"/>
      <c r="CRD41" s="33"/>
      <c r="CRN41" s="33"/>
      <c r="CRX41" s="33"/>
      <c r="CSH41" s="33"/>
      <c r="CSR41" s="33"/>
      <c r="CTB41" s="33"/>
      <c r="CTL41" s="33"/>
      <c r="CTV41" s="33"/>
    </row>
    <row r="42" s="16" customFormat="1" customHeight="1" spans="1:1020 1030:2040 2050:2570">
      <c r="A42" s="57"/>
      <c r="B42" s="52"/>
      <c r="C42" s="52"/>
      <c r="D42" s="52"/>
      <c r="E42" s="52"/>
      <c r="F42" s="58" t="str">
        <f>IFERROR(VLOOKUP(E42,日报!E:G,2,0),"")</f>
        <v/>
      </c>
      <c r="G42" s="52"/>
      <c r="H42" s="53" t="str">
        <f>IFERROR(VLOOKUP(E42,基础数据!$E$4:$H$4,4,0),"")</f>
        <v/>
      </c>
      <c r="I42" s="53" t="str">
        <f>IFERROR(VLOOKUP(E42,基础数据!$E$4:$H$4,3,0),"")</f>
        <v/>
      </c>
      <c r="J42" s="52"/>
      <c r="K42" s="54" t="str">
        <f t="shared" si="0"/>
        <v/>
      </c>
      <c r="T42" s="33"/>
      <c r="AD42" s="33"/>
      <c r="AN42" s="33"/>
      <c r="AX42" s="33"/>
      <c r="BH42" s="33"/>
      <c r="BR42" s="33"/>
      <c r="CB42" s="33"/>
      <c r="CL42" s="33"/>
      <c r="CV42" s="33"/>
      <c r="DF42" s="33"/>
      <c r="DP42" s="33"/>
      <c r="DZ42" s="33"/>
      <c r="EJ42" s="33"/>
      <c r="ET42" s="33"/>
      <c r="FD42" s="33"/>
      <c r="FN42" s="33"/>
      <c r="FX42" s="33"/>
      <c r="GH42" s="33"/>
      <c r="GR42" s="33"/>
      <c r="HB42" s="33"/>
      <c r="HL42" s="33"/>
      <c r="HV42" s="33"/>
      <c r="IF42" s="33"/>
      <c r="IP42" s="33"/>
      <c r="IZ42" s="33"/>
      <c r="JJ42" s="33"/>
      <c r="JT42" s="33"/>
      <c r="KD42" s="33"/>
      <c r="KN42" s="33"/>
      <c r="KX42" s="33"/>
      <c r="LH42" s="33"/>
      <c r="LR42" s="33"/>
      <c r="MB42" s="33"/>
      <c r="ML42" s="33"/>
      <c r="MV42" s="33"/>
      <c r="NF42" s="33"/>
      <c r="NP42" s="33"/>
      <c r="NZ42" s="33"/>
      <c r="OJ42" s="33"/>
      <c r="OT42" s="33"/>
      <c r="PD42" s="33"/>
      <c r="PN42" s="33"/>
      <c r="PX42" s="33"/>
      <c r="QH42" s="33"/>
      <c r="QR42" s="33"/>
      <c r="RB42" s="33"/>
      <c r="RL42" s="33"/>
      <c r="RV42" s="33"/>
      <c r="SF42" s="33"/>
      <c r="SP42" s="33"/>
      <c r="SZ42" s="33"/>
      <c r="TJ42" s="33"/>
      <c r="TT42" s="33"/>
      <c r="UD42" s="33"/>
      <c r="UN42" s="33"/>
      <c r="UX42" s="33"/>
      <c r="VH42" s="33"/>
      <c r="VR42" s="33"/>
      <c r="WB42" s="33"/>
      <c r="WL42" s="33"/>
      <c r="WV42" s="33"/>
      <c r="XF42" s="33"/>
      <c r="XP42" s="33"/>
      <c r="XZ42" s="33"/>
      <c r="YJ42" s="33"/>
      <c r="YT42" s="33"/>
      <c r="ZD42" s="33"/>
      <c r="ZN42" s="33"/>
      <c r="ZX42" s="33"/>
      <c r="AAH42" s="33"/>
      <c r="AAR42" s="33"/>
      <c r="ABB42" s="33"/>
      <c r="ABL42" s="33"/>
      <c r="ABV42" s="33"/>
      <c r="ACF42" s="33"/>
      <c r="ACP42" s="33"/>
      <c r="ACZ42" s="33"/>
      <c r="ADJ42" s="33"/>
      <c r="ADT42" s="33"/>
      <c r="AED42" s="33"/>
      <c r="AEN42" s="33"/>
      <c r="AEX42" s="33"/>
      <c r="AFH42" s="33"/>
      <c r="AFR42" s="33"/>
      <c r="AGB42" s="33"/>
      <c r="AGL42" s="33"/>
      <c r="AGV42" s="33"/>
      <c r="AHF42" s="33"/>
      <c r="AHP42" s="33"/>
      <c r="AHZ42" s="33"/>
      <c r="AIJ42" s="33"/>
      <c r="AIT42" s="33"/>
      <c r="AJD42" s="33"/>
      <c r="AJN42" s="33"/>
      <c r="AJX42" s="33"/>
      <c r="AKH42" s="33"/>
      <c r="AKR42" s="33"/>
      <c r="ALB42" s="33"/>
      <c r="ALL42" s="33"/>
      <c r="ALV42" s="33"/>
      <c r="AMF42" s="33"/>
      <c r="AMP42" s="33"/>
      <c r="AMZ42" s="33"/>
      <c r="ANJ42" s="33"/>
      <c r="ANT42" s="33"/>
      <c r="AOD42" s="33"/>
      <c r="AON42" s="33"/>
      <c r="AOX42" s="33"/>
      <c r="APH42" s="33"/>
      <c r="APR42" s="33"/>
      <c r="AQB42" s="33"/>
      <c r="AQL42" s="33"/>
      <c r="AQV42" s="33"/>
      <c r="ARF42" s="33"/>
      <c r="ARP42" s="33"/>
      <c r="ARZ42" s="33"/>
      <c r="ASJ42" s="33"/>
      <c r="AST42" s="33"/>
      <c r="ATD42" s="33"/>
      <c r="ATN42" s="33"/>
      <c r="ATX42" s="33"/>
      <c r="AUH42" s="33"/>
      <c r="AUR42" s="33"/>
      <c r="AVB42" s="33"/>
      <c r="AVL42" s="33"/>
      <c r="AVV42" s="33"/>
      <c r="AWF42" s="33"/>
      <c r="AWP42" s="33"/>
      <c r="AWZ42" s="33"/>
      <c r="AXJ42" s="33"/>
      <c r="AXT42" s="33"/>
      <c r="AYD42" s="33"/>
      <c r="AYN42" s="33"/>
      <c r="AYX42" s="33"/>
      <c r="AZH42" s="33"/>
      <c r="AZR42" s="33"/>
      <c r="BAB42" s="33"/>
      <c r="BAL42" s="33"/>
      <c r="BAV42" s="33"/>
      <c r="BBF42" s="33"/>
      <c r="BBP42" s="33"/>
      <c r="BBZ42" s="33"/>
      <c r="BCJ42" s="33"/>
      <c r="BCT42" s="33"/>
      <c r="BDD42" s="33"/>
      <c r="BDN42" s="33"/>
      <c r="BDX42" s="33"/>
      <c r="BEH42" s="33"/>
      <c r="BER42" s="33"/>
      <c r="BFB42" s="33"/>
      <c r="BFL42" s="33"/>
      <c r="BFV42" s="33"/>
      <c r="BGF42" s="33"/>
      <c r="BGP42" s="33"/>
      <c r="BGZ42" s="33"/>
      <c r="BHJ42" s="33"/>
      <c r="BHT42" s="33"/>
      <c r="BID42" s="33"/>
      <c r="BIN42" s="33"/>
      <c r="BIX42" s="33"/>
      <c r="BJH42" s="33"/>
      <c r="BJR42" s="33"/>
      <c r="BKB42" s="33"/>
      <c r="BKL42" s="33"/>
      <c r="BKV42" s="33"/>
      <c r="BLF42" s="33"/>
      <c r="BLP42" s="33"/>
      <c r="BLZ42" s="33"/>
      <c r="BMJ42" s="33"/>
      <c r="BMT42" s="33"/>
      <c r="BND42" s="33"/>
      <c r="BNN42" s="33"/>
      <c r="BNX42" s="33"/>
      <c r="BOH42" s="33"/>
      <c r="BOR42" s="33"/>
      <c r="BPB42" s="33"/>
      <c r="BPL42" s="33"/>
      <c r="BPV42" s="33"/>
      <c r="BQF42" s="33"/>
      <c r="BQP42" s="33"/>
      <c r="BQZ42" s="33"/>
      <c r="BRJ42" s="33"/>
      <c r="BRT42" s="33"/>
      <c r="BSD42" s="33"/>
      <c r="BSN42" s="33"/>
      <c r="BSX42" s="33"/>
      <c r="BTH42" s="33"/>
      <c r="BTR42" s="33"/>
      <c r="BUB42" s="33"/>
      <c r="BUL42" s="33"/>
      <c r="BUV42" s="33"/>
      <c r="BVF42" s="33"/>
      <c r="BVP42" s="33"/>
      <c r="BVZ42" s="33"/>
      <c r="BWJ42" s="33"/>
      <c r="BWT42" s="33"/>
      <c r="BXD42" s="33"/>
      <c r="BXN42" s="33"/>
      <c r="BXX42" s="33"/>
      <c r="BYH42" s="33"/>
      <c r="BYR42" s="33"/>
      <c r="BZB42" s="33"/>
      <c r="BZL42" s="33"/>
      <c r="BZV42" s="33"/>
      <c r="CAF42" s="33"/>
      <c r="CAP42" s="33"/>
      <c r="CAZ42" s="33"/>
      <c r="CBJ42" s="33"/>
      <c r="CBT42" s="33"/>
      <c r="CCD42" s="33"/>
      <c r="CCN42" s="33"/>
      <c r="CCX42" s="33"/>
      <c r="CDH42" s="33"/>
      <c r="CDR42" s="33"/>
      <c r="CEB42" s="33"/>
      <c r="CEL42" s="33"/>
      <c r="CEV42" s="33"/>
      <c r="CFF42" s="33"/>
      <c r="CFP42" s="33"/>
      <c r="CFZ42" s="33"/>
      <c r="CGJ42" s="33"/>
      <c r="CGT42" s="33"/>
      <c r="CHD42" s="33"/>
      <c r="CHN42" s="33"/>
      <c r="CHX42" s="33"/>
      <c r="CIH42" s="33"/>
      <c r="CIR42" s="33"/>
      <c r="CJB42" s="33"/>
      <c r="CJL42" s="33"/>
      <c r="CJV42" s="33"/>
      <c r="CKF42" s="33"/>
      <c r="CKP42" s="33"/>
      <c r="CKZ42" s="33"/>
      <c r="CLJ42" s="33"/>
      <c r="CLT42" s="33"/>
      <c r="CMD42" s="33"/>
      <c r="CMN42" s="33"/>
      <c r="CMX42" s="33"/>
      <c r="CNH42" s="33"/>
      <c r="CNR42" s="33"/>
      <c r="COB42" s="33"/>
      <c r="COL42" s="33"/>
      <c r="COV42" s="33"/>
      <c r="CPF42" s="33"/>
      <c r="CPP42" s="33"/>
      <c r="CPZ42" s="33"/>
      <c r="CQJ42" s="33"/>
      <c r="CQT42" s="33"/>
      <c r="CRD42" s="33"/>
      <c r="CRN42" s="33"/>
      <c r="CRX42" s="33"/>
      <c r="CSH42" s="33"/>
      <c r="CSR42" s="33"/>
      <c r="CTB42" s="33"/>
      <c r="CTL42" s="33"/>
      <c r="CTV42" s="33"/>
    </row>
    <row r="43" s="16" customFormat="1" customHeight="1" spans="1:1020 1030:2040 2050:2570">
      <c r="A43" s="57"/>
      <c r="B43" s="52"/>
      <c r="C43" s="52"/>
      <c r="D43" s="52"/>
      <c r="E43" s="52"/>
      <c r="F43" s="58" t="str">
        <f>IFERROR(VLOOKUP(E43,日报!E:G,2,0),"")</f>
        <v/>
      </c>
      <c r="G43" s="52"/>
      <c r="H43" s="53" t="str">
        <f>IFERROR(VLOOKUP(E43,基础数据!$E$4:$H$4,4,0),"")</f>
        <v/>
      </c>
      <c r="I43" s="53" t="str">
        <f>IFERROR(VLOOKUP(E43,基础数据!$E$4:$H$4,3,0),"")</f>
        <v/>
      </c>
      <c r="J43" s="52"/>
      <c r="K43" s="54" t="str">
        <f t="shared" si="0"/>
        <v/>
      </c>
      <c r="T43" s="33"/>
      <c r="AD43" s="33"/>
      <c r="AN43" s="33"/>
      <c r="AX43" s="33"/>
      <c r="BH43" s="33"/>
      <c r="BR43" s="33"/>
      <c r="CB43" s="33"/>
      <c r="CL43" s="33"/>
      <c r="CV43" s="33"/>
      <c r="DF43" s="33"/>
      <c r="DP43" s="33"/>
      <c r="DZ43" s="33"/>
      <c r="EJ43" s="33"/>
      <c r="ET43" s="33"/>
      <c r="FD43" s="33"/>
      <c r="FN43" s="33"/>
      <c r="FX43" s="33"/>
      <c r="GH43" s="33"/>
      <c r="GR43" s="33"/>
      <c r="HB43" s="33"/>
      <c r="HL43" s="33"/>
      <c r="HV43" s="33"/>
      <c r="IF43" s="33"/>
      <c r="IP43" s="33"/>
      <c r="IZ43" s="33"/>
      <c r="JJ43" s="33"/>
      <c r="JT43" s="33"/>
      <c r="KD43" s="33"/>
      <c r="KN43" s="33"/>
      <c r="KX43" s="33"/>
      <c r="LH43" s="33"/>
      <c r="LR43" s="33"/>
      <c r="MB43" s="33"/>
      <c r="ML43" s="33"/>
      <c r="MV43" s="33"/>
      <c r="NF43" s="33"/>
      <c r="NP43" s="33"/>
      <c r="NZ43" s="33"/>
      <c r="OJ43" s="33"/>
      <c r="OT43" s="33"/>
      <c r="PD43" s="33"/>
      <c r="PN43" s="33"/>
      <c r="PX43" s="33"/>
      <c r="QH43" s="33"/>
      <c r="QR43" s="33"/>
      <c r="RB43" s="33"/>
      <c r="RL43" s="33"/>
      <c r="RV43" s="33"/>
      <c r="SF43" s="33"/>
      <c r="SP43" s="33"/>
      <c r="SZ43" s="33"/>
      <c r="TJ43" s="33"/>
      <c r="TT43" s="33"/>
      <c r="UD43" s="33"/>
      <c r="UN43" s="33"/>
      <c r="UX43" s="33"/>
      <c r="VH43" s="33"/>
      <c r="VR43" s="33"/>
      <c r="WB43" s="33"/>
      <c r="WL43" s="33"/>
      <c r="WV43" s="33"/>
      <c r="XF43" s="33"/>
      <c r="XP43" s="33"/>
      <c r="XZ43" s="33"/>
      <c r="YJ43" s="33"/>
      <c r="YT43" s="33"/>
      <c r="ZD43" s="33"/>
      <c r="ZN43" s="33"/>
      <c r="ZX43" s="33"/>
      <c r="AAH43" s="33"/>
      <c r="AAR43" s="33"/>
      <c r="ABB43" s="33"/>
      <c r="ABL43" s="33"/>
      <c r="ABV43" s="33"/>
      <c r="ACF43" s="33"/>
      <c r="ACP43" s="33"/>
      <c r="ACZ43" s="33"/>
      <c r="ADJ43" s="33"/>
      <c r="ADT43" s="33"/>
      <c r="AED43" s="33"/>
      <c r="AEN43" s="33"/>
      <c r="AEX43" s="33"/>
      <c r="AFH43" s="33"/>
      <c r="AFR43" s="33"/>
      <c r="AGB43" s="33"/>
      <c r="AGL43" s="33"/>
      <c r="AGV43" s="33"/>
      <c r="AHF43" s="33"/>
      <c r="AHP43" s="33"/>
      <c r="AHZ43" s="33"/>
      <c r="AIJ43" s="33"/>
      <c r="AIT43" s="33"/>
      <c r="AJD43" s="33"/>
      <c r="AJN43" s="33"/>
      <c r="AJX43" s="33"/>
      <c r="AKH43" s="33"/>
      <c r="AKR43" s="33"/>
      <c r="ALB43" s="33"/>
      <c r="ALL43" s="33"/>
      <c r="ALV43" s="33"/>
      <c r="AMF43" s="33"/>
      <c r="AMP43" s="33"/>
      <c r="AMZ43" s="33"/>
      <c r="ANJ43" s="33"/>
      <c r="ANT43" s="33"/>
      <c r="AOD43" s="33"/>
      <c r="AON43" s="33"/>
      <c r="AOX43" s="33"/>
      <c r="APH43" s="33"/>
      <c r="APR43" s="33"/>
      <c r="AQB43" s="33"/>
      <c r="AQL43" s="33"/>
      <c r="AQV43" s="33"/>
      <c r="ARF43" s="33"/>
      <c r="ARP43" s="33"/>
      <c r="ARZ43" s="33"/>
      <c r="ASJ43" s="33"/>
      <c r="AST43" s="33"/>
      <c r="ATD43" s="33"/>
      <c r="ATN43" s="33"/>
      <c r="ATX43" s="33"/>
      <c r="AUH43" s="33"/>
      <c r="AUR43" s="33"/>
      <c r="AVB43" s="33"/>
      <c r="AVL43" s="33"/>
      <c r="AVV43" s="33"/>
      <c r="AWF43" s="33"/>
      <c r="AWP43" s="33"/>
      <c r="AWZ43" s="33"/>
      <c r="AXJ43" s="33"/>
      <c r="AXT43" s="33"/>
      <c r="AYD43" s="33"/>
      <c r="AYN43" s="33"/>
      <c r="AYX43" s="33"/>
      <c r="AZH43" s="33"/>
      <c r="AZR43" s="33"/>
      <c r="BAB43" s="33"/>
      <c r="BAL43" s="33"/>
      <c r="BAV43" s="33"/>
      <c r="BBF43" s="33"/>
      <c r="BBP43" s="33"/>
      <c r="BBZ43" s="33"/>
      <c r="BCJ43" s="33"/>
      <c r="BCT43" s="33"/>
      <c r="BDD43" s="33"/>
      <c r="BDN43" s="33"/>
      <c r="BDX43" s="33"/>
      <c r="BEH43" s="33"/>
      <c r="BER43" s="33"/>
      <c r="BFB43" s="33"/>
      <c r="BFL43" s="33"/>
      <c r="BFV43" s="33"/>
      <c r="BGF43" s="33"/>
      <c r="BGP43" s="33"/>
      <c r="BGZ43" s="33"/>
      <c r="BHJ43" s="33"/>
      <c r="BHT43" s="33"/>
      <c r="BID43" s="33"/>
      <c r="BIN43" s="33"/>
      <c r="BIX43" s="33"/>
      <c r="BJH43" s="33"/>
      <c r="BJR43" s="33"/>
      <c r="BKB43" s="33"/>
      <c r="BKL43" s="33"/>
      <c r="BKV43" s="33"/>
      <c r="BLF43" s="33"/>
      <c r="BLP43" s="33"/>
      <c r="BLZ43" s="33"/>
      <c r="BMJ43" s="33"/>
      <c r="BMT43" s="33"/>
      <c r="BND43" s="33"/>
      <c r="BNN43" s="33"/>
      <c r="BNX43" s="33"/>
      <c r="BOH43" s="33"/>
      <c r="BOR43" s="33"/>
      <c r="BPB43" s="33"/>
      <c r="BPL43" s="33"/>
      <c r="BPV43" s="33"/>
      <c r="BQF43" s="33"/>
      <c r="BQP43" s="33"/>
      <c r="BQZ43" s="33"/>
      <c r="BRJ43" s="33"/>
      <c r="BRT43" s="33"/>
      <c r="BSD43" s="33"/>
      <c r="BSN43" s="33"/>
      <c r="BSX43" s="33"/>
      <c r="BTH43" s="33"/>
      <c r="BTR43" s="33"/>
      <c r="BUB43" s="33"/>
      <c r="BUL43" s="33"/>
      <c r="BUV43" s="33"/>
      <c r="BVF43" s="33"/>
      <c r="BVP43" s="33"/>
      <c r="BVZ43" s="33"/>
      <c r="BWJ43" s="33"/>
      <c r="BWT43" s="33"/>
      <c r="BXD43" s="33"/>
      <c r="BXN43" s="33"/>
      <c r="BXX43" s="33"/>
      <c r="BYH43" s="33"/>
      <c r="BYR43" s="33"/>
      <c r="BZB43" s="33"/>
      <c r="BZL43" s="33"/>
      <c r="BZV43" s="33"/>
      <c r="CAF43" s="33"/>
      <c r="CAP43" s="33"/>
      <c r="CAZ43" s="33"/>
      <c r="CBJ43" s="33"/>
      <c r="CBT43" s="33"/>
      <c r="CCD43" s="33"/>
      <c r="CCN43" s="33"/>
      <c r="CCX43" s="33"/>
      <c r="CDH43" s="33"/>
      <c r="CDR43" s="33"/>
      <c r="CEB43" s="33"/>
      <c r="CEL43" s="33"/>
      <c r="CEV43" s="33"/>
      <c r="CFF43" s="33"/>
      <c r="CFP43" s="33"/>
      <c r="CFZ43" s="33"/>
      <c r="CGJ43" s="33"/>
      <c r="CGT43" s="33"/>
      <c r="CHD43" s="33"/>
      <c r="CHN43" s="33"/>
      <c r="CHX43" s="33"/>
      <c r="CIH43" s="33"/>
      <c r="CIR43" s="33"/>
      <c r="CJB43" s="33"/>
      <c r="CJL43" s="33"/>
      <c r="CJV43" s="33"/>
      <c r="CKF43" s="33"/>
      <c r="CKP43" s="33"/>
      <c r="CKZ43" s="33"/>
      <c r="CLJ43" s="33"/>
      <c r="CLT43" s="33"/>
      <c r="CMD43" s="33"/>
      <c r="CMN43" s="33"/>
      <c r="CMX43" s="33"/>
      <c r="CNH43" s="33"/>
      <c r="CNR43" s="33"/>
      <c r="COB43" s="33"/>
      <c r="COL43" s="33"/>
      <c r="COV43" s="33"/>
      <c r="CPF43" s="33"/>
      <c r="CPP43" s="33"/>
      <c r="CPZ43" s="33"/>
      <c r="CQJ43" s="33"/>
      <c r="CQT43" s="33"/>
      <c r="CRD43" s="33"/>
      <c r="CRN43" s="33"/>
      <c r="CRX43" s="33"/>
      <c r="CSH43" s="33"/>
      <c r="CSR43" s="33"/>
      <c r="CTB43" s="33"/>
      <c r="CTL43" s="33"/>
      <c r="CTV43" s="33"/>
    </row>
    <row r="44" s="16" customFormat="1" customHeight="1" spans="1:1020 1030:2040 2050:2570">
      <c r="A44" s="57"/>
      <c r="B44" s="52"/>
      <c r="C44" s="52"/>
      <c r="D44" s="52"/>
      <c r="E44" s="52"/>
      <c r="F44" s="58" t="str">
        <f>IFERROR(VLOOKUP(E44,日报!E:G,2,0),"")</f>
        <v/>
      </c>
      <c r="G44" s="52"/>
      <c r="H44" s="53" t="str">
        <f>IFERROR(VLOOKUP(E44,基础数据!$E$4:$H$4,4,0),"")</f>
        <v/>
      </c>
      <c r="I44" s="53" t="str">
        <f>IFERROR(VLOOKUP(E44,基础数据!$E$4:$H$4,3,0),"")</f>
        <v/>
      </c>
      <c r="J44" s="52"/>
      <c r="K44" s="54" t="str">
        <f t="shared" si="0"/>
        <v/>
      </c>
      <c r="T44" s="33"/>
      <c r="AD44" s="33"/>
      <c r="AN44" s="33"/>
      <c r="AX44" s="33"/>
      <c r="BH44" s="33"/>
      <c r="BR44" s="33"/>
      <c r="CB44" s="33"/>
      <c r="CL44" s="33"/>
      <c r="CV44" s="33"/>
      <c r="DF44" s="33"/>
      <c r="DP44" s="33"/>
      <c r="DZ44" s="33"/>
      <c r="EJ44" s="33"/>
      <c r="ET44" s="33"/>
      <c r="FD44" s="33"/>
      <c r="FN44" s="33"/>
      <c r="FX44" s="33"/>
      <c r="GH44" s="33"/>
      <c r="GR44" s="33"/>
      <c r="HB44" s="33"/>
      <c r="HL44" s="33"/>
      <c r="HV44" s="33"/>
      <c r="IF44" s="33"/>
      <c r="IP44" s="33"/>
      <c r="IZ44" s="33"/>
      <c r="JJ44" s="33"/>
      <c r="JT44" s="33"/>
      <c r="KD44" s="33"/>
      <c r="KN44" s="33"/>
      <c r="KX44" s="33"/>
      <c r="LH44" s="33"/>
      <c r="LR44" s="33"/>
      <c r="MB44" s="33"/>
      <c r="ML44" s="33"/>
      <c r="MV44" s="33"/>
      <c r="NF44" s="33"/>
      <c r="NP44" s="33"/>
      <c r="NZ44" s="33"/>
      <c r="OJ44" s="33"/>
      <c r="OT44" s="33"/>
      <c r="PD44" s="33"/>
      <c r="PN44" s="33"/>
      <c r="PX44" s="33"/>
      <c r="QH44" s="33"/>
      <c r="QR44" s="33"/>
      <c r="RB44" s="33"/>
      <c r="RL44" s="33"/>
      <c r="RV44" s="33"/>
      <c r="SF44" s="33"/>
      <c r="SP44" s="33"/>
      <c r="SZ44" s="33"/>
      <c r="TJ44" s="33"/>
      <c r="TT44" s="33"/>
      <c r="UD44" s="33"/>
      <c r="UN44" s="33"/>
      <c r="UX44" s="33"/>
      <c r="VH44" s="33"/>
      <c r="VR44" s="33"/>
      <c r="WB44" s="33"/>
      <c r="WL44" s="33"/>
      <c r="WV44" s="33"/>
      <c r="XF44" s="33"/>
      <c r="XP44" s="33"/>
      <c r="XZ44" s="33"/>
      <c r="YJ44" s="33"/>
      <c r="YT44" s="33"/>
      <c r="ZD44" s="33"/>
      <c r="ZN44" s="33"/>
      <c r="ZX44" s="33"/>
      <c r="AAH44" s="33"/>
      <c r="AAR44" s="33"/>
      <c r="ABB44" s="33"/>
      <c r="ABL44" s="33"/>
      <c r="ABV44" s="33"/>
      <c r="ACF44" s="33"/>
      <c r="ACP44" s="33"/>
      <c r="ACZ44" s="33"/>
      <c r="ADJ44" s="33"/>
      <c r="ADT44" s="33"/>
      <c r="AED44" s="33"/>
      <c r="AEN44" s="33"/>
      <c r="AEX44" s="33"/>
      <c r="AFH44" s="33"/>
      <c r="AFR44" s="33"/>
      <c r="AGB44" s="33"/>
      <c r="AGL44" s="33"/>
      <c r="AGV44" s="33"/>
      <c r="AHF44" s="33"/>
      <c r="AHP44" s="33"/>
      <c r="AHZ44" s="33"/>
      <c r="AIJ44" s="33"/>
      <c r="AIT44" s="33"/>
      <c r="AJD44" s="33"/>
      <c r="AJN44" s="33"/>
      <c r="AJX44" s="33"/>
      <c r="AKH44" s="33"/>
      <c r="AKR44" s="33"/>
      <c r="ALB44" s="33"/>
      <c r="ALL44" s="33"/>
      <c r="ALV44" s="33"/>
      <c r="AMF44" s="33"/>
      <c r="AMP44" s="33"/>
      <c r="AMZ44" s="33"/>
      <c r="ANJ44" s="33"/>
      <c r="ANT44" s="33"/>
      <c r="AOD44" s="33"/>
      <c r="AON44" s="33"/>
      <c r="AOX44" s="33"/>
      <c r="APH44" s="33"/>
      <c r="APR44" s="33"/>
      <c r="AQB44" s="33"/>
      <c r="AQL44" s="33"/>
      <c r="AQV44" s="33"/>
      <c r="ARF44" s="33"/>
      <c r="ARP44" s="33"/>
      <c r="ARZ44" s="33"/>
      <c r="ASJ44" s="33"/>
      <c r="AST44" s="33"/>
      <c r="ATD44" s="33"/>
      <c r="ATN44" s="33"/>
      <c r="ATX44" s="33"/>
      <c r="AUH44" s="33"/>
      <c r="AUR44" s="33"/>
      <c r="AVB44" s="33"/>
      <c r="AVL44" s="33"/>
      <c r="AVV44" s="33"/>
      <c r="AWF44" s="33"/>
      <c r="AWP44" s="33"/>
      <c r="AWZ44" s="33"/>
      <c r="AXJ44" s="33"/>
      <c r="AXT44" s="33"/>
      <c r="AYD44" s="33"/>
      <c r="AYN44" s="33"/>
      <c r="AYX44" s="33"/>
      <c r="AZH44" s="33"/>
      <c r="AZR44" s="33"/>
      <c r="BAB44" s="33"/>
      <c r="BAL44" s="33"/>
      <c r="BAV44" s="33"/>
      <c r="BBF44" s="33"/>
      <c r="BBP44" s="33"/>
      <c r="BBZ44" s="33"/>
      <c r="BCJ44" s="33"/>
      <c r="BCT44" s="33"/>
      <c r="BDD44" s="33"/>
      <c r="BDN44" s="33"/>
      <c r="BDX44" s="33"/>
      <c r="BEH44" s="33"/>
      <c r="BER44" s="33"/>
      <c r="BFB44" s="33"/>
      <c r="BFL44" s="33"/>
      <c r="BFV44" s="33"/>
      <c r="BGF44" s="33"/>
      <c r="BGP44" s="33"/>
      <c r="BGZ44" s="33"/>
      <c r="BHJ44" s="33"/>
      <c r="BHT44" s="33"/>
      <c r="BID44" s="33"/>
      <c r="BIN44" s="33"/>
      <c r="BIX44" s="33"/>
      <c r="BJH44" s="33"/>
      <c r="BJR44" s="33"/>
      <c r="BKB44" s="33"/>
      <c r="BKL44" s="33"/>
      <c r="BKV44" s="33"/>
      <c r="BLF44" s="33"/>
      <c r="BLP44" s="33"/>
      <c r="BLZ44" s="33"/>
      <c r="BMJ44" s="33"/>
      <c r="BMT44" s="33"/>
      <c r="BND44" s="33"/>
      <c r="BNN44" s="33"/>
      <c r="BNX44" s="33"/>
      <c r="BOH44" s="33"/>
      <c r="BOR44" s="33"/>
      <c r="BPB44" s="33"/>
      <c r="BPL44" s="33"/>
      <c r="BPV44" s="33"/>
      <c r="BQF44" s="33"/>
      <c r="BQP44" s="33"/>
      <c r="BQZ44" s="33"/>
      <c r="BRJ44" s="33"/>
      <c r="BRT44" s="33"/>
      <c r="BSD44" s="33"/>
      <c r="BSN44" s="33"/>
      <c r="BSX44" s="33"/>
      <c r="BTH44" s="33"/>
      <c r="BTR44" s="33"/>
      <c r="BUB44" s="33"/>
      <c r="BUL44" s="33"/>
      <c r="BUV44" s="33"/>
      <c r="BVF44" s="33"/>
      <c r="BVP44" s="33"/>
      <c r="BVZ44" s="33"/>
      <c r="BWJ44" s="33"/>
      <c r="BWT44" s="33"/>
      <c r="BXD44" s="33"/>
      <c r="BXN44" s="33"/>
      <c r="BXX44" s="33"/>
      <c r="BYH44" s="33"/>
      <c r="BYR44" s="33"/>
      <c r="BZB44" s="33"/>
      <c r="BZL44" s="33"/>
      <c r="BZV44" s="33"/>
      <c r="CAF44" s="33"/>
      <c r="CAP44" s="33"/>
      <c r="CAZ44" s="33"/>
      <c r="CBJ44" s="33"/>
      <c r="CBT44" s="33"/>
      <c r="CCD44" s="33"/>
      <c r="CCN44" s="33"/>
      <c r="CCX44" s="33"/>
      <c r="CDH44" s="33"/>
      <c r="CDR44" s="33"/>
      <c r="CEB44" s="33"/>
      <c r="CEL44" s="33"/>
      <c r="CEV44" s="33"/>
      <c r="CFF44" s="33"/>
      <c r="CFP44" s="33"/>
      <c r="CFZ44" s="33"/>
      <c r="CGJ44" s="33"/>
      <c r="CGT44" s="33"/>
      <c r="CHD44" s="33"/>
      <c r="CHN44" s="33"/>
      <c r="CHX44" s="33"/>
      <c r="CIH44" s="33"/>
      <c r="CIR44" s="33"/>
      <c r="CJB44" s="33"/>
      <c r="CJL44" s="33"/>
      <c r="CJV44" s="33"/>
      <c r="CKF44" s="33"/>
      <c r="CKP44" s="33"/>
      <c r="CKZ44" s="33"/>
      <c r="CLJ44" s="33"/>
      <c r="CLT44" s="33"/>
      <c r="CMD44" s="33"/>
      <c r="CMN44" s="33"/>
      <c r="CMX44" s="33"/>
      <c r="CNH44" s="33"/>
      <c r="CNR44" s="33"/>
      <c r="COB44" s="33"/>
      <c r="COL44" s="33"/>
      <c r="COV44" s="33"/>
      <c r="CPF44" s="33"/>
      <c r="CPP44" s="33"/>
      <c r="CPZ44" s="33"/>
      <c r="CQJ44" s="33"/>
      <c r="CQT44" s="33"/>
      <c r="CRD44" s="33"/>
      <c r="CRN44" s="33"/>
      <c r="CRX44" s="33"/>
      <c r="CSH44" s="33"/>
      <c r="CSR44" s="33"/>
      <c r="CTB44" s="33"/>
      <c r="CTL44" s="33"/>
      <c r="CTV44" s="33"/>
    </row>
    <row r="45" s="16" customFormat="1" customHeight="1" spans="1:1020 1030:2040 2050:2570">
      <c r="A45" s="57"/>
      <c r="B45" s="52"/>
      <c r="C45" s="52"/>
      <c r="D45" s="52"/>
      <c r="E45" s="52"/>
      <c r="F45" s="58" t="str">
        <f>IFERROR(VLOOKUP(E45,日报!E:G,2,0),"")</f>
        <v/>
      </c>
      <c r="G45" s="52"/>
      <c r="H45" s="53" t="str">
        <f>IFERROR(VLOOKUP(E45,基础数据!$E$4:$H$4,4,0),"")</f>
        <v/>
      </c>
      <c r="I45" s="53" t="str">
        <f>IFERROR(VLOOKUP(E45,基础数据!$E$4:$H$4,3,0),"")</f>
        <v/>
      </c>
      <c r="J45" s="52"/>
      <c r="K45" s="54" t="str">
        <f t="shared" si="0"/>
        <v/>
      </c>
      <c r="T45" s="33"/>
      <c r="AD45" s="33"/>
      <c r="AN45" s="33"/>
      <c r="AX45" s="33"/>
      <c r="BH45" s="33"/>
      <c r="BR45" s="33"/>
      <c r="CB45" s="33"/>
      <c r="CL45" s="33"/>
      <c r="CV45" s="33"/>
      <c r="DF45" s="33"/>
      <c r="DP45" s="33"/>
      <c r="DZ45" s="33"/>
      <c r="EJ45" s="33"/>
      <c r="ET45" s="33"/>
      <c r="FD45" s="33"/>
      <c r="FN45" s="33"/>
      <c r="FX45" s="33"/>
      <c r="GH45" s="33"/>
      <c r="GR45" s="33"/>
      <c r="HB45" s="33"/>
      <c r="HL45" s="33"/>
      <c r="HV45" s="33"/>
      <c r="IF45" s="33"/>
      <c r="IP45" s="33"/>
      <c r="IZ45" s="33"/>
      <c r="JJ45" s="33"/>
      <c r="JT45" s="33"/>
      <c r="KD45" s="33"/>
      <c r="KN45" s="33"/>
      <c r="KX45" s="33"/>
      <c r="LH45" s="33"/>
      <c r="LR45" s="33"/>
      <c r="MB45" s="33"/>
      <c r="ML45" s="33"/>
      <c r="MV45" s="33"/>
      <c r="NF45" s="33"/>
      <c r="NP45" s="33"/>
      <c r="NZ45" s="33"/>
      <c r="OJ45" s="33"/>
      <c r="OT45" s="33"/>
      <c r="PD45" s="33"/>
      <c r="PN45" s="33"/>
      <c r="PX45" s="33"/>
      <c r="QH45" s="33"/>
      <c r="QR45" s="33"/>
      <c r="RB45" s="33"/>
      <c r="RL45" s="33"/>
      <c r="RV45" s="33"/>
      <c r="SF45" s="33"/>
      <c r="SP45" s="33"/>
      <c r="SZ45" s="33"/>
      <c r="TJ45" s="33"/>
      <c r="TT45" s="33"/>
      <c r="UD45" s="33"/>
      <c r="UN45" s="33"/>
      <c r="UX45" s="33"/>
      <c r="VH45" s="33"/>
      <c r="VR45" s="33"/>
      <c r="WB45" s="33"/>
      <c r="WL45" s="33"/>
      <c r="WV45" s="33"/>
      <c r="XF45" s="33"/>
      <c r="XP45" s="33"/>
      <c r="XZ45" s="33"/>
      <c r="YJ45" s="33"/>
      <c r="YT45" s="33"/>
      <c r="ZD45" s="33"/>
      <c r="ZN45" s="33"/>
      <c r="ZX45" s="33"/>
      <c r="AAH45" s="33"/>
      <c r="AAR45" s="33"/>
      <c r="ABB45" s="33"/>
      <c r="ABL45" s="33"/>
      <c r="ABV45" s="33"/>
      <c r="ACF45" s="33"/>
      <c r="ACP45" s="33"/>
      <c r="ACZ45" s="33"/>
      <c r="ADJ45" s="33"/>
      <c r="ADT45" s="33"/>
      <c r="AED45" s="33"/>
      <c r="AEN45" s="33"/>
      <c r="AEX45" s="33"/>
      <c r="AFH45" s="33"/>
      <c r="AFR45" s="33"/>
      <c r="AGB45" s="33"/>
      <c r="AGL45" s="33"/>
      <c r="AGV45" s="33"/>
      <c r="AHF45" s="33"/>
      <c r="AHP45" s="33"/>
      <c r="AHZ45" s="33"/>
      <c r="AIJ45" s="33"/>
      <c r="AIT45" s="33"/>
      <c r="AJD45" s="33"/>
      <c r="AJN45" s="33"/>
      <c r="AJX45" s="33"/>
      <c r="AKH45" s="33"/>
      <c r="AKR45" s="33"/>
      <c r="ALB45" s="33"/>
      <c r="ALL45" s="33"/>
      <c r="ALV45" s="33"/>
      <c r="AMF45" s="33"/>
      <c r="AMP45" s="33"/>
      <c r="AMZ45" s="33"/>
      <c r="ANJ45" s="33"/>
      <c r="ANT45" s="33"/>
      <c r="AOD45" s="33"/>
      <c r="AON45" s="33"/>
      <c r="AOX45" s="33"/>
      <c r="APH45" s="33"/>
      <c r="APR45" s="33"/>
      <c r="AQB45" s="33"/>
      <c r="AQL45" s="33"/>
      <c r="AQV45" s="33"/>
      <c r="ARF45" s="33"/>
      <c r="ARP45" s="33"/>
      <c r="ARZ45" s="33"/>
      <c r="ASJ45" s="33"/>
      <c r="AST45" s="33"/>
      <c r="ATD45" s="33"/>
      <c r="ATN45" s="33"/>
      <c r="ATX45" s="33"/>
      <c r="AUH45" s="33"/>
      <c r="AUR45" s="33"/>
      <c r="AVB45" s="33"/>
      <c r="AVL45" s="33"/>
      <c r="AVV45" s="33"/>
      <c r="AWF45" s="33"/>
      <c r="AWP45" s="33"/>
      <c r="AWZ45" s="33"/>
      <c r="AXJ45" s="33"/>
      <c r="AXT45" s="33"/>
      <c r="AYD45" s="33"/>
      <c r="AYN45" s="33"/>
      <c r="AYX45" s="33"/>
      <c r="AZH45" s="33"/>
      <c r="AZR45" s="33"/>
      <c r="BAB45" s="33"/>
      <c r="BAL45" s="33"/>
      <c r="BAV45" s="33"/>
      <c r="BBF45" s="33"/>
      <c r="BBP45" s="33"/>
      <c r="BBZ45" s="33"/>
      <c r="BCJ45" s="33"/>
      <c r="BCT45" s="33"/>
      <c r="BDD45" s="33"/>
      <c r="BDN45" s="33"/>
      <c r="BDX45" s="33"/>
      <c r="BEH45" s="33"/>
      <c r="BER45" s="33"/>
      <c r="BFB45" s="33"/>
      <c r="BFL45" s="33"/>
      <c r="BFV45" s="33"/>
      <c r="BGF45" s="33"/>
      <c r="BGP45" s="33"/>
      <c r="BGZ45" s="33"/>
      <c r="BHJ45" s="33"/>
      <c r="BHT45" s="33"/>
      <c r="BID45" s="33"/>
      <c r="BIN45" s="33"/>
      <c r="BIX45" s="33"/>
      <c r="BJH45" s="33"/>
      <c r="BJR45" s="33"/>
      <c r="BKB45" s="33"/>
      <c r="BKL45" s="33"/>
      <c r="BKV45" s="33"/>
      <c r="BLF45" s="33"/>
      <c r="BLP45" s="33"/>
      <c r="BLZ45" s="33"/>
      <c r="BMJ45" s="33"/>
      <c r="BMT45" s="33"/>
      <c r="BND45" s="33"/>
      <c r="BNN45" s="33"/>
      <c r="BNX45" s="33"/>
      <c r="BOH45" s="33"/>
      <c r="BOR45" s="33"/>
      <c r="BPB45" s="33"/>
      <c r="BPL45" s="33"/>
      <c r="BPV45" s="33"/>
      <c r="BQF45" s="33"/>
      <c r="BQP45" s="33"/>
      <c r="BQZ45" s="33"/>
      <c r="BRJ45" s="33"/>
      <c r="BRT45" s="33"/>
      <c r="BSD45" s="33"/>
      <c r="BSN45" s="33"/>
      <c r="BSX45" s="33"/>
      <c r="BTH45" s="33"/>
      <c r="BTR45" s="33"/>
      <c r="BUB45" s="33"/>
      <c r="BUL45" s="33"/>
      <c r="BUV45" s="33"/>
      <c r="BVF45" s="33"/>
      <c r="BVP45" s="33"/>
      <c r="BVZ45" s="33"/>
      <c r="BWJ45" s="33"/>
      <c r="BWT45" s="33"/>
      <c r="BXD45" s="33"/>
      <c r="BXN45" s="33"/>
      <c r="BXX45" s="33"/>
      <c r="BYH45" s="33"/>
      <c r="BYR45" s="33"/>
      <c r="BZB45" s="33"/>
      <c r="BZL45" s="33"/>
      <c r="BZV45" s="33"/>
      <c r="CAF45" s="33"/>
      <c r="CAP45" s="33"/>
      <c r="CAZ45" s="33"/>
      <c r="CBJ45" s="33"/>
      <c r="CBT45" s="33"/>
      <c r="CCD45" s="33"/>
      <c r="CCN45" s="33"/>
      <c r="CCX45" s="33"/>
      <c r="CDH45" s="33"/>
      <c r="CDR45" s="33"/>
      <c r="CEB45" s="33"/>
      <c r="CEL45" s="33"/>
      <c r="CEV45" s="33"/>
      <c r="CFF45" s="33"/>
      <c r="CFP45" s="33"/>
      <c r="CFZ45" s="33"/>
      <c r="CGJ45" s="33"/>
      <c r="CGT45" s="33"/>
      <c r="CHD45" s="33"/>
      <c r="CHN45" s="33"/>
      <c r="CHX45" s="33"/>
      <c r="CIH45" s="33"/>
      <c r="CIR45" s="33"/>
      <c r="CJB45" s="33"/>
      <c r="CJL45" s="33"/>
      <c r="CJV45" s="33"/>
      <c r="CKF45" s="33"/>
      <c r="CKP45" s="33"/>
      <c r="CKZ45" s="33"/>
      <c r="CLJ45" s="33"/>
      <c r="CLT45" s="33"/>
      <c r="CMD45" s="33"/>
      <c r="CMN45" s="33"/>
      <c r="CMX45" s="33"/>
      <c r="CNH45" s="33"/>
      <c r="CNR45" s="33"/>
      <c r="COB45" s="33"/>
      <c r="COL45" s="33"/>
      <c r="COV45" s="33"/>
      <c r="CPF45" s="33"/>
      <c r="CPP45" s="33"/>
      <c r="CPZ45" s="33"/>
      <c r="CQJ45" s="33"/>
      <c r="CQT45" s="33"/>
      <c r="CRD45" s="33"/>
      <c r="CRN45" s="33"/>
      <c r="CRX45" s="33"/>
      <c r="CSH45" s="33"/>
      <c r="CSR45" s="33"/>
      <c r="CTB45" s="33"/>
      <c r="CTL45" s="33"/>
      <c r="CTV45" s="33"/>
    </row>
    <row r="46" s="16" customFormat="1" customHeight="1" spans="1:1020 1030:2040 2050:2570">
      <c r="A46" s="57"/>
      <c r="B46" s="52"/>
      <c r="C46" s="52"/>
      <c r="D46" s="52"/>
      <c r="E46" s="52"/>
      <c r="F46" s="58" t="str">
        <f>IFERROR(VLOOKUP(E46,日报!E:G,2,0),"")</f>
        <v/>
      </c>
      <c r="G46" s="52"/>
      <c r="H46" s="53" t="str">
        <f>IFERROR(VLOOKUP(E46,基础数据!$E$4:$H$4,4,0),"")</f>
        <v/>
      </c>
      <c r="I46" s="53" t="str">
        <f>IFERROR(VLOOKUP(E46,基础数据!$E$4:$H$4,3,0),"")</f>
        <v/>
      </c>
      <c r="J46" s="52"/>
      <c r="K46" s="54" t="str">
        <f t="shared" si="0"/>
        <v/>
      </c>
      <c r="T46" s="33"/>
      <c r="AD46" s="33"/>
      <c r="AN46" s="33"/>
      <c r="AX46" s="33"/>
      <c r="BH46" s="33"/>
      <c r="BR46" s="33"/>
      <c r="CB46" s="33"/>
      <c r="CL46" s="33"/>
      <c r="CV46" s="33"/>
      <c r="DF46" s="33"/>
      <c r="DP46" s="33"/>
      <c r="DZ46" s="33"/>
      <c r="EJ46" s="33"/>
      <c r="ET46" s="33"/>
      <c r="FD46" s="33"/>
      <c r="FN46" s="33"/>
      <c r="FX46" s="33"/>
      <c r="GH46" s="33"/>
      <c r="GR46" s="33"/>
      <c r="HB46" s="33"/>
      <c r="HL46" s="33"/>
      <c r="HV46" s="33"/>
      <c r="IF46" s="33"/>
      <c r="IP46" s="33"/>
      <c r="IZ46" s="33"/>
      <c r="JJ46" s="33"/>
      <c r="JT46" s="33"/>
      <c r="KD46" s="33"/>
      <c r="KN46" s="33"/>
      <c r="KX46" s="33"/>
      <c r="LH46" s="33"/>
      <c r="LR46" s="33"/>
      <c r="MB46" s="33"/>
      <c r="ML46" s="33"/>
      <c r="MV46" s="33"/>
      <c r="NF46" s="33"/>
      <c r="NP46" s="33"/>
      <c r="NZ46" s="33"/>
      <c r="OJ46" s="33"/>
      <c r="OT46" s="33"/>
      <c r="PD46" s="33"/>
      <c r="PN46" s="33"/>
      <c r="PX46" s="33"/>
      <c r="QH46" s="33"/>
      <c r="QR46" s="33"/>
      <c r="RB46" s="33"/>
      <c r="RL46" s="33"/>
      <c r="RV46" s="33"/>
      <c r="SF46" s="33"/>
      <c r="SP46" s="33"/>
      <c r="SZ46" s="33"/>
      <c r="TJ46" s="33"/>
      <c r="TT46" s="33"/>
      <c r="UD46" s="33"/>
      <c r="UN46" s="33"/>
      <c r="UX46" s="33"/>
      <c r="VH46" s="33"/>
      <c r="VR46" s="33"/>
      <c r="WB46" s="33"/>
      <c r="WL46" s="33"/>
      <c r="WV46" s="33"/>
      <c r="XF46" s="33"/>
      <c r="XP46" s="33"/>
      <c r="XZ46" s="33"/>
      <c r="YJ46" s="33"/>
      <c r="YT46" s="33"/>
      <c r="ZD46" s="33"/>
      <c r="ZN46" s="33"/>
      <c r="ZX46" s="33"/>
      <c r="AAH46" s="33"/>
      <c r="AAR46" s="33"/>
      <c r="ABB46" s="33"/>
      <c r="ABL46" s="33"/>
      <c r="ABV46" s="33"/>
      <c r="ACF46" s="33"/>
      <c r="ACP46" s="33"/>
      <c r="ACZ46" s="33"/>
      <c r="ADJ46" s="33"/>
      <c r="ADT46" s="33"/>
      <c r="AED46" s="33"/>
      <c r="AEN46" s="33"/>
      <c r="AEX46" s="33"/>
      <c r="AFH46" s="33"/>
      <c r="AFR46" s="33"/>
      <c r="AGB46" s="33"/>
      <c r="AGL46" s="33"/>
      <c r="AGV46" s="33"/>
      <c r="AHF46" s="33"/>
      <c r="AHP46" s="33"/>
      <c r="AHZ46" s="33"/>
      <c r="AIJ46" s="33"/>
      <c r="AIT46" s="33"/>
      <c r="AJD46" s="33"/>
      <c r="AJN46" s="33"/>
      <c r="AJX46" s="33"/>
      <c r="AKH46" s="33"/>
      <c r="AKR46" s="33"/>
      <c r="ALB46" s="33"/>
      <c r="ALL46" s="33"/>
      <c r="ALV46" s="33"/>
      <c r="AMF46" s="33"/>
      <c r="AMP46" s="33"/>
      <c r="AMZ46" s="33"/>
      <c r="ANJ46" s="33"/>
      <c r="ANT46" s="33"/>
      <c r="AOD46" s="33"/>
      <c r="AON46" s="33"/>
      <c r="AOX46" s="33"/>
      <c r="APH46" s="33"/>
      <c r="APR46" s="33"/>
      <c r="AQB46" s="33"/>
      <c r="AQL46" s="33"/>
      <c r="AQV46" s="33"/>
      <c r="ARF46" s="33"/>
      <c r="ARP46" s="33"/>
      <c r="ARZ46" s="33"/>
      <c r="ASJ46" s="33"/>
      <c r="AST46" s="33"/>
      <c r="ATD46" s="33"/>
      <c r="ATN46" s="33"/>
      <c r="ATX46" s="33"/>
      <c r="AUH46" s="33"/>
      <c r="AUR46" s="33"/>
      <c r="AVB46" s="33"/>
      <c r="AVL46" s="33"/>
      <c r="AVV46" s="33"/>
      <c r="AWF46" s="33"/>
      <c r="AWP46" s="33"/>
      <c r="AWZ46" s="33"/>
      <c r="AXJ46" s="33"/>
      <c r="AXT46" s="33"/>
      <c r="AYD46" s="33"/>
      <c r="AYN46" s="33"/>
      <c r="AYX46" s="33"/>
      <c r="AZH46" s="33"/>
      <c r="AZR46" s="33"/>
      <c r="BAB46" s="33"/>
      <c r="BAL46" s="33"/>
      <c r="BAV46" s="33"/>
      <c r="BBF46" s="33"/>
      <c r="BBP46" s="33"/>
      <c r="BBZ46" s="33"/>
      <c r="BCJ46" s="33"/>
      <c r="BCT46" s="33"/>
      <c r="BDD46" s="33"/>
      <c r="BDN46" s="33"/>
      <c r="BDX46" s="33"/>
      <c r="BEH46" s="33"/>
      <c r="BER46" s="33"/>
      <c r="BFB46" s="33"/>
      <c r="BFL46" s="33"/>
      <c r="BFV46" s="33"/>
      <c r="BGF46" s="33"/>
      <c r="BGP46" s="33"/>
      <c r="BGZ46" s="33"/>
      <c r="BHJ46" s="33"/>
      <c r="BHT46" s="33"/>
      <c r="BID46" s="33"/>
      <c r="BIN46" s="33"/>
      <c r="BIX46" s="33"/>
      <c r="BJH46" s="33"/>
      <c r="BJR46" s="33"/>
      <c r="BKB46" s="33"/>
      <c r="BKL46" s="33"/>
      <c r="BKV46" s="33"/>
      <c r="BLF46" s="33"/>
      <c r="BLP46" s="33"/>
      <c r="BLZ46" s="33"/>
      <c r="BMJ46" s="33"/>
      <c r="BMT46" s="33"/>
      <c r="BND46" s="33"/>
      <c r="BNN46" s="33"/>
      <c r="BNX46" s="33"/>
      <c r="BOH46" s="33"/>
      <c r="BOR46" s="33"/>
      <c r="BPB46" s="33"/>
      <c r="BPL46" s="33"/>
      <c r="BPV46" s="33"/>
      <c r="BQF46" s="33"/>
      <c r="BQP46" s="33"/>
      <c r="BQZ46" s="33"/>
      <c r="BRJ46" s="33"/>
      <c r="BRT46" s="33"/>
      <c r="BSD46" s="33"/>
      <c r="BSN46" s="33"/>
      <c r="BSX46" s="33"/>
      <c r="BTH46" s="33"/>
      <c r="BTR46" s="33"/>
      <c r="BUB46" s="33"/>
      <c r="BUL46" s="33"/>
      <c r="BUV46" s="33"/>
      <c r="BVF46" s="33"/>
      <c r="BVP46" s="33"/>
      <c r="BVZ46" s="33"/>
      <c r="BWJ46" s="33"/>
      <c r="BWT46" s="33"/>
      <c r="BXD46" s="33"/>
      <c r="BXN46" s="33"/>
      <c r="BXX46" s="33"/>
      <c r="BYH46" s="33"/>
      <c r="BYR46" s="33"/>
      <c r="BZB46" s="33"/>
      <c r="BZL46" s="33"/>
      <c r="BZV46" s="33"/>
      <c r="CAF46" s="33"/>
      <c r="CAP46" s="33"/>
      <c r="CAZ46" s="33"/>
      <c r="CBJ46" s="33"/>
      <c r="CBT46" s="33"/>
      <c r="CCD46" s="33"/>
      <c r="CCN46" s="33"/>
      <c r="CCX46" s="33"/>
      <c r="CDH46" s="33"/>
      <c r="CDR46" s="33"/>
      <c r="CEB46" s="33"/>
      <c r="CEL46" s="33"/>
      <c r="CEV46" s="33"/>
      <c r="CFF46" s="33"/>
      <c r="CFP46" s="33"/>
      <c r="CFZ46" s="33"/>
      <c r="CGJ46" s="33"/>
      <c r="CGT46" s="33"/>
      <c r="CHD46" s="33"/>
      <c r="CHN46" s="33"/>
      <c r="CHX46" s="33"/>
      <c r="CIH46" s="33"/>
      <c r="CIR46" s="33"/>
      <c r="CJB46" s="33"/>
      <c r="CJL46" s="33"/>
      <c r="CJV46" s="33"/>
      <c r="CKF46" s="33"/>
      <c r="CKP46" s="33"/>
      <c r="CKZ46" s="33"/>
      <c r="CLJ46" s="33"/>
      <c r="CLT46" s="33"/>
      <c r="CMD46" s="33"/>
      <c r="CMN46" s="33"/>
      <c r="CMX46" s="33"/>
      <c r="CNH46" s="33"/>
      <c r="CNR46" s="33"/>
      <c r="COB46" s="33"/>
      <c r="COL46" s="33"/>
      <c r="COV46" s="33"/>
      <c r="CPF46" s="33"/>
      <c r="CPP46" s="33"/>
      <c r="CPZ46" s="33"/>
      <c r="CQJ46" s="33"/>
      <c r="CQT46" s="33"/>
      <c r="CRD46" s="33"/>
      <c r="CRN46" s="33"/>
      <c r="CRX46" s="33"/>
      <c r="CSH46" s="33"/>
      <c r="CSR46" s="33"/>
      <c r="CTB46" s="33"/>
      <c r="CTL46" s="33"/>
      <c r="CTV46" s="33"/>
    </row>
    <row r="47" s="16" customFormat="1" customHeight="1" spans="1:1020 1030:2040 2050:2570">
      <c r="A47" s="57"/>
      <c r="B47" s="52"/>
      <c r="C47" s="52"/>
      <c r="D47" s="52"/>
      <c r="E47" s="52"/>
      <c r="F47" s="58" t="str">
        <f>IFERROR(VLOOKUP(E47,日报!E:G,2,0),"")</f>
        <v/>
      </c>
      <c r="G47" s="52"/>
      <c r="H47" s="53" t="str">
        <f>IFERROR(VLOOKUP(E47,基础数据!$E$4:$H$4,4,0),"")</f>
        <v/>
      </c>
      <c r="I47" s="53" t="str">
        <f>IFERROR(VLOOKUP(E47,基础数据!$E$4:$H$4,3,0),"")</f>
        <v/>
      </c>
      <c r="J47" s="52"/>
      <c r="K47" s="54" t="str">
        <f t="shared" si="0"/>
        <v/>
      </c>
      <c r="T47" s="33"/>
      <c r="AD47" s="33"/>
      <c r="AN47" s="33"/>
      <c r="AX47" s="33"/>
      <c r="BH47" s="33"/>
      <c r="BR47" s="33"/>
      <c r="CB47" s="33"/>
      <c r="CL47" s="33"/>
      <c r="CV47" s="33"/>
      <c r="DF47" s="33"/>
      <c r="DP47" s="33"/>
      <c r="DZ47" s="33"/>
      <c r="EJ47" s="33"/>
      <c r="ET47" s="33"/>
      <c r="FD47" s="33"/>
      <c r="FN47" s="33"/>
      <c r="FX47" s="33"/>
      <c r="GH47" s="33"/>
      <c r="GR47" s="33"/>
      <c r="HB47" s="33"/>
      <c r="HL47" s="33"/>
      <c r="HV47" s="33"/>
      <c r="IF47" s="33"/>
      <c r="IP47" s="33"/>
      <c r="IZ47" s="33"/>
      <c r="JJ47" s="33"/>
      <c r="JT47" s="33"/>
      <c r="KD47" s="33"/>
      <c r="KN47" s="33"/>
      <c r="KX47" s="33"/>
      <c r="LH47" s="33"/>
      <c r="LR47" s="33"/>
      <c r="MB47" s="33"/>
      <c r="ML47" s="33"/>
      <c r="MV47" s="33"/>
      <c r="NF47" s="33"/>
      <c r="NP47" s="33"/>
      <c r="NZ47" s="33"/>
      <c r="OJ47" s="33"/>
      <c r="OT47" s="33"/>
      <c r="PD47" s="33"/>
      <c r="PN47" s="33"/>
      <c r="PX47" s="33"/>
      <c r="QH47" s="33"/>
      <c r="QR47" s="33"/>
      <c r="RB47" s="33"/>
      <c r="RL47" s="33"/>
      <c r="RV47" s="33"/>
      <c r="SF47" s="33"/>
      <c r="SP47" s="33"/>
      <c r="SZ47" s="33"/>
      <c r="TJ47" s="33"/>
      <c r="TT47" s="33"/>
      <c r="UD47" s="33"/>
      <c r="UN47" s="33"/>
      <c r="UX47" s="33"/>
      <c r="VH47" s="33"/>
      <c r="VR47" s="33"/>
      <c r="WB47" s="33"/>
      <c r="WL47" s="33"/>
      <c r="WV47" s="33"/>
      <c r="XF47" s="33"/>
      <c r="XP47" s="33"/>
      <c r="XZ47" s="33"/>
      <c r="YJ47" s="33"/>
      <c r="YT47" s="33"/>
      <c r="ZD47" s="33"/>
      <c r="ZN47" s="33"/>
      <c r="ZX47" s="33"/>
      <c r="AAH47" s="33"/>
      <c r="AAR47" s="33"/>
      <c r="ABB47" s="33"/>
      <c r="ABL47" s="33"/>
      <c r="ABV47" s="33"/>
      <c r="ACF47" s="33"/>
      <c r="ACP47" s="33"/>
      <c r="ACZ47" s="33"/>
      <c r="ADJ47" s="33"/>
      <c r="ADT47" s="33"/>
      <c r="AED47" s="33"/>
      <c r="AEN47" s="33"/>
      <c r="AEX47" s="33"/>
      <c r="AFH47" s="33"/>
      <c r="AFR47" s="33"/>
      <c r="AGB47" s="33"/>
      <c r="AGL47" s="33"/>
      <c r="AGV47" s="33"/>
      <c r="AHF47" s="33"/>
      <c r="AHP47" s="33"/>
      <c r="AHZ47" s="33"/>
      <c r="AIJ47" s="33"/>
      <c r="AIT47" s="33"/>
      <c r="AJD47" s="33"/>
      <c r="AJN47" s="33"/>
      <c r="AJX47" s="33"/>
      <c r="AKH47" s="33"/>
      <c r="AKR47" s="33"/>
      <c r="ALB47" s="33"/>
      <c r="ALL47" s="33"/>
      <c r="ALV47" s="33"/>
      <c r="AMF47" s="33"/>
      <c r="AMP47" s="33"/>
      <c r="AMZ47" s="33"/>
      <c r="ANJ47" s="33"/>
      <c r="ANT47" s="33"/>
      <c r="AOD47" s="33"/>
      <c r="AON47" s="33"/>
      <c r="AOX47" s="33"/>
      <c r="APH47" s="33"/>
      <c r="APR47" s="33"/>
      <c r="AQB47" s="33"/>
      <c r="AQL47" s="33"/>
      <c r="AQV47" s="33"/>
      <c r="ARF47" s="33"/>
      <c r="ARP47" s="33"/>
      <c r="ARZ47" s="33"/>
      <c r="ASJ47" s="33"/>
      <c r="AST47" s="33"/>
      <c r="ATD47" s="33"/>
      <c r="ATN47" s="33"/>
      <c r="ATX47" s="33"/>
      <c r="AUH47" s="33"/>
      <c r="AUR47" s="33"/>
      <c r="AVB47" s="33"/>
      <c r="AVL47" s="33"/>
      <c r="AVV47" s="33"/>
      <c r="AWF47" s="33"/>
      <c r="AWP47" s="33"/>
      <c r="AWZ47" s="33"/>
      <c r="AXJ47" s="33"/>
      <c r="AXT47" s="33"/>
      <c r="AYD47" s="33"/>
      <c r="AYN47" s="33"/>
      <c r="AYX47" s="33"/>
      <c r="AZH47" s="33"/>
      <c r="AZR47" s="33"/>
      <c r="BAB47" s="33"/>
      <c r="BAL47" s="33"/>
      <c r="BAV47" s="33"/>
      <c r="BBF47" s="33"/>
      <c r="BBP47" s="33"/>
      <c r="BBZ47" s="33"/>
      <c r="BCJ47" s="33"/>
      <c r="BCT47" s="33"/>
      <c r="BDD47" s="33"/>
      <c r="BDN47" s="33"/>
      <c r="BDX47" s="33"/>
      <c r="BEH47" s="33"/>
      <c r="BER47" s="33"/>
      <c r="BFB47" s="33"/>
      <c r="BFL47" s="33"/>
      <c r="BFV47" s="33"/>
      <c r="BGF47" s="33"/>
      <c r="BGP47" s="33"/>
      <c r="BGZ47" s="33"/>
      <c r="BHJ47" s="33"/>
      <c r="BHT47" s="33"/>
      <c r="BID47" s="33"/>
      <c r="BIN47" s="33"/>
      <c r="BIX47" s="33"/>
      <c r="BJH47" s="33"/>
      <c r="BJR47" s="33"/>
      <c r="BKB47" s="33"/>
      <c r="BKL47" s="33"/>
      <c r="BKV47" s="33"/>
      <c r="BLF47" s="33"/>
      <c r="BLP47" s="33"/>
      <c r="BLZ47" s="33"/>
      <c r="BMJ47" s="33"/>
      <c r="BMT47" s="33"/>
      <c r="BND47" s="33"/>
      <c r="BNN47" s="33"/>
      <c r="BNX47" s="33"/>
      <c r="BOH47" s="33"/>
      <c r="BOR47" s="33"/>
      <c r="BPB47" s="33"/>
      <c r="BPL47" s="33"/>
      <c r="BPV47" s="33"/>
      <c r="BQF47" s="33"/>
      <c r="BQP47" s="33"/>
      <c r="BQZ47" s="33"/>
      <c r="BRJ47" s="33"/>
      <c r="BRT47" s="33"/>
      <c r="BSD47" s="33"/>
      <c r="BSN47" s="33"/>
      <c r="BSX47" s="33"/>
      <c r="BTH47" s="33"/>
      <c r="BTR47" s="33"/>
      <c r="BUB47" s="33"/>
      <c r="BUL47" s="33"/>
      <c r="BUV47" s="33"/>
      <c r="BVF47" s="33"/>
      <c r="BVP47" s="33"/>
      <c r="BVZ47" s="33"/>
      <c r="BWJ47" s="33"/>
      <c r="BWT47" s="33"/>
      <c r="BXD47" s="33"/>
      <c r="BXN47" s="33"/>
      <c r="BXX47" s="33"/>
      <c r="BYH47" s="33"/>
      <c r="BYR47" s="33"/>
      <c r="BZB47" s="33"/>
      <c r="BZL47" s="33"/>
      <c r="BZV47" s="33"/>
      <c r="CAF47" s="33"/>
      <c r="CAP47" s="33"/>
      <c r="CAZ47" s="33"/>
      <c r="CBJ47" s="33"/>
      <c r="CBT47" s="33"/>
      <c r="CCD47" s="33"/>
      <c r="CCN47" s="33"/>
      <c r="CCX47" s="33"/>
      <c r="CDH47" s="33"/>
      <c r="CDR47" s="33"/>
      <c r="CEB47" s="33"/>
      <c r="CEL47" s="33"/>
      <c r="CEV47" s="33"/>
      <c r="CFF47" s="33"/>
      <c r="CFP47" s="33"/>
      <c r="CFZ47" s="33"/>
      <c r="CGJ47" s="33"/>
      <c r="CGT47" s="33"/>
      <c r="CHD47" s="33"/>
      <c r="CHN47" s="33"/>
      <c r="CHX47" s="33"/>
      <c r="CIH47" s="33"/>
      <c r="CIR47" s="33"/>
      <c r="CJB47" s="33"/>
      <c r="CJL47" s="33"/>
      <c r="CJV47" s="33"/>
      <c r="CKF47" s="33"/>
      <c r="CKP47" s="33"/>
      <c r="CKZ47" s="33"/>
      <c r="CLJ47" s="33"/>
      <c r="CLT47" s="33"/>
      <c r="CMD47" s="33"/>
      <c r="CMN47" s="33"/>
      <c r="CMX47" s="33"/>
      <c r="CNH47" s="33"/>
      <c r="CNR47" s="33"/>
      <c r="COB47" s="33"/>
      <c r="COL47" s="33"/>
      <c r="COV47" s="33"/>
      <c r="CPF47" s="33"/>
      <c r="CPP47" s="33"/>
      <c r="CPZ47" s="33"/>
      <c r="CQJ47" s="33"/>
      <c r="CQT47" s="33"/>
      <c r="CRD47" s="33"/>
      <c r="CRN47" s="33"/>
      <c r="CRX47" s="33"/>
      <c r="CSH47" s="33"/>
      <c r="CSR47" s="33"/>
      <c r="CTB47" s="33"/>
      <c r="CTL47" s="33"/>
      <c r="CTV47" s="33"/>
    </row>
    <row r="48" s="16" customFormat="1" customHeight="1" spans="1:1020 1030:2040 2050:2570">
      <c r="A48" s="57"/>
      <c r="B48" s="52"/>
      <c r="C48" s="52"/>
      <c r="D48" s="52"/>
      <c r="E48" s="52"/>
      <c r="F48" s="58" t="str">
        <f>IFERROR(VLOOKUP(E48,日报!E:G,2,0),"")</f>
        <v/>
      </c>
      <c r="G48" s="52"/>
      <c r="H48" s="53" t="str">
        <f>IFERROR(VLOOKUP(E48,基础数据!$E$4:$H$4,4,0),"")</f>
        <v/>
      </c>
      <c r="I48" s="53" t="str">
        <f>IFERROR(VLOOKUP(E48,基础数据!$E$4:$H$4,3,0),"")</f>
        <v/>
      </c>
      <c r="J48" s="52"/>
      <c r="K48" s="54" t="str">
        <f t="shared" si="0"/>
        <v/>
      </c>
      <c r="T48" s="33"/>
      <c r="AD48" s="33"/>
      <c r="AN48" s="33"/>
      <c r="AX48" s="33"/>
      <c r="BH48" s="33"/>
      <c r="BR48" s="33"/>
      <c r="CB48" s="33"/>
      <c r="CL48" s="33"/>
      <c r="CV48" s="33"/>
      <c r="DF48" s="33"/>
      <c r="DP48" s="33"/>
      <c r="DZ48" s="33"/>
      <c r="EJ48" s="33"/>
      <c r="ET48" s="33"/>
      <c r="FD48" s="33"/>
      <c r="FN48" s="33"/>
      <c r="FX48" s="33"/>
      <c r="GH48" s="33"/>
      <c r="GR48" s="33"/>
      <c r="HB48" s="33"/>
      <c r="HL48" s="33"/>
      <c r="HV48" s="33"/>
      <c r="IF48" s="33"/>
      <c r="IP48" s="33"/>
      <c r="IZ48" s="33"/>
      <c r="JJ48" s="33"/>
      <c r="JT48" s="33"/>
      <c r="KD48" s="33"/>
      <c r="KN48" s="33"/>
      <c r="KX48" s="33"/>
      <c r="LH48" s="33"/>
      <c r="LR48" s="33"/>
      <c r="MB48" s="33"/>
      <c r="ML48" s="33"/>
      <c r="MV48" s="33"/>
      <c r="NF48" s="33"/>
      <c r="NP48" s="33"/>
      <c r="NZ48" s="33"/>
      <c r="OJ48" s="33"/>
      <c r="OT48" s="33"/>
      <c r="PD48" s="33"/>
      <c r="PN48" s="33"/>
      <c r="PX48" s="33"/>
      <c r="QH48" s="33"/>
      <c r="QR48" s="33"/>
      <c r="RB48" s="33"/>
      <c r="RL48" s="33"/>
      <c r="RV48" s="33"/>
      <c r="SF48" s="33"/>
      <c r="SP48" s="33"/>
      <c r="SZ48" s="33"/>
      <c r="TJ48" s="33"/>
      <c r="TT48" s="33"/>
      <c r="UD48" s="33"/>
      <c r="UN48" s="33"/>
      <c r="UX48" s="33"/>
      <c r="VH48" s="33"/>
      <c r="VR48" s="33"/>
      <c r="WB48" s="33"/>
      <c r="WL48" s="33"/>
      <c r="WV48" s="33"/>
      <c r="XF48" s="33"/>
      <c r="XP48" s="33"/>
      <c r="XZ48" s="33"/>
      <c r="YJ48" s="33"/>
      <c r="YT48" s="33"/>
      <c r="ZD48" s="33"/>
      <c r="ZN48" s="33"/>
      <c r="ZX48" s="33"/>
      <c r="AAH48" s="33"/>
      <c r="AAR48" s="33"/>
      <c r="ABB48" s="33"/>
      <c r="ABL48" s="33"/>
      <c r="ABV48" s="33"/>
      <c r="ACF48" s="33"/>
      <c r="ACP48" s="33"/>
      <c r="ACZ48" s="33"/>
      <c r="ADJ48" s="33"/>
      <c r="ADT48" s="33"/>
      <c r="AED48" s="33"/>
      <c r="AEN48" s="33"/>
      <c r="AEX48" s="33"/>
      <c r="AFH48" s="33"/>
      <c r="AFR48" s="33"/>
      <c r="AGB48" s="33"/>
      <c r="AGL48" s="33"/>
      <c r="AGV48" s="33"/>
      <c r="AHF48" s="33"/>
      <c r="AHP48" s="33"/>
      <c r="AHZ48" s="33"/>
      <c r="AIJ48" s="33"/>
      <c r="AIT48" s="33"/>
      <c r="AJD48" s="33"/>
      <c r="AJN48" s="33"/>
      <c r="AJX48" s="33"/>
      <c r="AKH48" s="33"/>
      <c r="AKR48" s="33"/>
      <c r="ALB48" s="33"/>
      <c r="ALL48" s="33"/>
      <c r="ALV48" s="33"/>
      <c r="AMF48" s="33"/>
      <c r="AMP48" s="33"/>
      <c r="AMZ48" s="33"/>
      <c r="ANJ48" s="33"/>
      <c r="ANT48" s="33"/>
      <c r="AOD48" s="33"/>
      <c r="AON48" s="33"/>
      <c r="AOX48" s="33"/>
      <c r="APH48" s="33"/>
      <c r="APR48" s="33"/>
      <c r="AQB48" s="33"/>
      <c r="AQL48" s="33"/>
      <c r="AQV48" s="33"/>
      <c r="ARF48" s="33"/>
      <c r="ARP48" s="33"/>
      <c r="ARZ48" s="33"/>
      <c r="ASJ48" s="33"/>
      <c r="AST48" s="33"/>
      <c r="ATD48" s="33"/>
      <c r="ATN48" s="33"/>
      <c r="ATX48" s="33"/>
      <c r="AUH48" s="33"/>
      <c r="AUR48" s="33"/>
      <c r="AVB48" s="33"/>
      <c r="AVL48" s="33"/>
      <c r="AVV48" s="33"/>
      <c r="AWF48" s="33"/>
      <c r="AWP48" s="33"/>
      <c r="AWZ48" s="33"/>
      <c r="AXJ48" s="33"/>
      <c r="AXT48" s="33"/>
      <c r="AYD48" s="33"/>
      <c r="AYN48" s="33"/>
      <c r="AYX48" s="33"/>
      <c r="AZH48" s="33"/>
      <c r="AZR48" s="33"/>
      <c r="BAB48" s="33"/>
      <c r="BAL48" s="33"/>
      <c r="BAV48" s="33"/>
      <c r="BBF48" s="33"/>
      <c r="BBP48" s="33"/>
      <c r="BBZ48" s="33"/>
      <c r="BCJ48" s="33"/>
      <c r="BCT48" s="33"/>
      <c r="BDD48" s="33"/>
      <c r="BDN48" s="33"/>
      <c r="BDX48" s="33"/>
      <c r="BEH48" s="33"/>
      <c r="BER48" s="33"/>
      <c r="BFB48" s="33"/>
      <c r="BFL48" s="33"/>
      <c r="BFV48" s="33"/>
      <c r="BGF48" s="33"/>
      <c r="BGP48" s="33"/>
      <c r="BGZ48" s="33"/>
      <c r="BHJ48" s="33"/>
      <c r="BHT48" s="33"/>
      <c r="BID48" s="33"/>
      <c r="BIN48" s="33"/>
      <c r="BIX48" s="33"/>
      <c r="BJH48" s="33"/>
      <c r="BJR48" s="33"/>
      <c r="BKB48" s="33"/>
      <c r="BKL48" s="33"/>
      <c r="BKV48" s="33"/>
      <c r="BLF48" s="33"/>
      <c r="BLP48" s="33"/>
      <c r="BLZ48" s="33"/>
      <c r="BMJ48" s="33"/>
      <c r="BMT48" s="33"/>
      <c r="BND48" s="33"/>
      <c r="BNN48" s="33"/>
      <c r="BNX48" s="33"/>
      <c r="BOH48" s="33"/>
      <c r="BOR48" s="33"/>
      <c r="BPB48" s="33"/>
      <c r="BPL48" s="33"/>
      <c r="BPV48" s="33"/>
      <c r="BQF48" s="33"/>
      <c r="BQP48" s="33"/>
      <c r="BQZ48" s="33"/>
      <c r="BRJ48" s="33"/>
      <c r="BRT48" s="33"/>
      <c r="BSD48" s="33"/>
      <c r="BSN48" s="33"/>
      <c r="BSX48" s="33"/>
      <c r="BTH48" s="33"/>
      <c r="BTR48" s="33"/>
      <c r="BUB48" s="33"/>
      <c r="BUL48" s="33"/>
      <c r="BUV48" s="33"/>
      <c r="BVF48" s="33"/>
      <c r="BVP48" s="33"/>
      <c r="BVZ48" s="33"/>
      <c r="BWJ48" s="33"/>
      <c r="BWT48" s="33"/>
      <c r="BXD48" s="33"/>
      <c r="BXN48" s="33"/>
      <c r="BXX48" s="33"/>
      <c r="BYH48" s="33"/>
      <c r="BYR48" s="33"/>
      <c r="BZB48" s="33"/>
      <c r="BZL48" s="33"/>
      <c r="BZV48" s="33"/>
      <c r="CAF48" s="33"/>
      <c r="CAP48" s="33"/>
      <c r="CAZ48" s="33"/>
      <c r="CBJ48" s="33"/>
      <c r="CBT48" s="33"/>
      <c r="CCD48" s="33"/>
      <c r="CCN48" s="33"/>
      <c r="CCX48" s="33"/>
      <c r="CDH48" s="33"/>
      <c r="CDR48" s="33"/>
      <c r="CEB48" s="33"/>
      <c r="CEL48" s="33"/>
      <c r="CEV48" s="33"/>
      <c r="CFF48" s="33"/>
      <c r="CFP48" s="33"/>
      <c r="CFZ48" s="33"/>
      <c r="CGJ48" s="33"/>
      <c r="CGT48" s="33"/>
      <c r="CHD48" s="33"/>
      <c r="CHN48" s="33"/>
      <c r="CHX48" s="33"/>
      <c r="CIH48" s="33"/>
      <c r="CIR48" s="33"/>
      <c r="CJB48" s="33"/>
      <c r="CJL48" s="33"/>
      <c r="CJV48" s="33"/>
      <c r="CKF48" s="33"/>
      <c r="CKP48" s="33"/>
      <c r="CKZ48" s="33"/>
      <c r="CLJ48" s="33"/>
      <c r="CLT48" s="33"/>
      <c r="CMD48" s="33"/>
      <c r="CMN48" s="33"/>
      <c r="CMX48" s="33"/>
      <c r="CNH48" s="33"/>
      <c r="CNR48" s="33"/>
      <c r="COB48" s="33"/>
      <c r="COL48" s="33"/>
      <c r="COV48" s="33"/>
      <c r="CPF48" s="33"/>
      <c r="CPP48" s="33"/>
      <c r="CPZ48" s="33"/>
      <c r="CQJ48" s="33"/>
      <c r="CQT48" s="33"/>
      <c r="CRD48" s="33"/>
      <c r="CRN48" s="33"/>
      <c r="CRX48" s="33"/>
      <c r="CSH48" s="33"/>
      <c r="CSR48" s="33"/>
      <c r="CTB48" s="33"/>
      <c r="CTL48" s="33"/>
      <c r="CTV48" s="33"/>
    </row>
    <row r="49" s="16" customFormat="1" customHeight="1" spans="1:1020 1030:2040 2050:2570">
      <c r="A49" s="57"/>
      <c r="B49" s="52"/>
      <c r="C49" s="52"/>
      <c r="D49" s="52"/>
      <c r="E49" s="52"/>
      <c r="F49" s="58" t="str">
        <f>IFERROR(VLOOKUP(E49,日报!E:G,2,0),"")</f>
        <v/>
      </c>
      <c r="G49" s="52"/>
      <c r="H49" s="53" t="str">
        <f>IFERROR(VLOOKUP(E49,基础数据!$E$4:$H$4,4,0),"")</f>
        <v/>
      </c>
      <c r="I49" s="53" t="str">
        <f>IFERROR(VLOOKUP(E49,基础数据!$E$4:$H$4,3,0),"")</f>
        <v/>
      </c>
      <c r="J49" s="52"/>
      <c r="K49" s="54" t="str">
        <f t="shared" si="0"/>
        <v/>
      </c>
      <c r="T49" s="33"/>
      <c r="AD49" s="33"/>
      <c r="AN49" s="33"/>
      <c r="AX49" s="33"/>
      <c r="BH49" s="33"/>
      <c r="BR49" s="33"/>
      <c r="CB49" s="33"/>
      <c r="CL49" s="33"/>
      <c r="CV49" s="33"/>
      <c r="DF49" s="33"/>
      <c r="DP49" s="33"/>
      <c r="DZ49" s="33"/>
      <c r="EJ49" s="33"/>
      <c r="ET49" s="33"/>
      <c r="FD49" s="33"/>
      <c r="FN49" s="33"/>
      <c r="FX49" s="33"/>
      <c r="GH49" s="33"/>
      <c r="GR49" s="33"/>
      <c r="HB49" s="33"/>
      <c r="HL49" s="33"/>
      <c r="HV49" s="33"/>
      <c r="IF49" s="33"/>
      <c r="IP49" s="33"/>
      <c r="IZ49" s="33"/>
      <c r="JJ49" s="33"/>
      <c r="JT49" s="33"/>
      <c r="KD49" s="33"/>
      <c r="KN49" s="33"/>
      <c r="KX49" s="33"/>
      <c r="LH49" s="33"/>
      <c r="LR49" s="33"/>
      <c r="MB49" s="33"/>
      <c r="ML49" s="33"/>
      <c r="MV49" s="33"/>
      <c r="NF49" s="33"/>
      <c r="NP49" s="33"/>
      <c r="NZ49" s="33"/>
      <c r="OJ49" s="33"/>
      <c r="OT49" s="33"/>
      <c r="PD49" s="33"/>
      <c r="PN49" s="33"/>
      <c r="PX49" s="33"/>
      <c r="QH49" s="33"/>
      <c r="QR49" s="33"/>
      <c r="RB49" s="33"/>
      <c r="RL49" s="33"/>
      <c r="RV49" s="33"/>
      <c r="SF49" s="33"/>
      <c r="SP49" s="33"/>
      <c r="SZ49" s="33"/>
      <c r="TJ49" s="33"/>
      <c r="TT49" s="33"/>
      <c r="UD49" s="33"/>
      <c r="UN49" s="33"/>
      <c r="UX49" s="33"/>
      <c r="VH49" s="33"/>
      <c r="VR49" s="33"/>
      <c r="WB49" s="33"/>
      <c r="WL49" s="33"/>
      <c r="WV49" s="33"/>
      <c r="XF49" s="33"/>
      <c r="XP49" s="33"/>
      <c r="XZ49" s="33"/>
      <c r="YJ49" s="33"/>
      <c r="YT49" s="33"/>
      <c r="ZD49" s="33"/>
      <c r="ZN49" s="33"/>
      <c r="ZX49" s="33"/>
      <c r="AAH49" s="33"/>
      <c r="AAR49" s="33"/>
      <c r="ABB49" s="33"/>
      <c r="ABL49" s="33"/>
      <c r="ABV49" s="33"/>
      <c r="ACF49" s="33"/>
      <c r="ACP49" s="33"/>
      <c r="ACZ49" s="33"/>
      <c r="ADJ49" s="33"/>
      <c r="ADT49" s="33"/>
      <c r="AED49" s="33"/>
      <c r="AEN49" s="33"/>
      <c r="AEX49" s="33"/>
      <c r="AFH49" s="33"/>
      <c r="AFR49" s="33"/>
      <c r="AGB49" s="33"/>
      <c r="AGL49" s="33"/>
      <c r="AGV49" s="33"/>
      <c r="AHF49" s="33"/>
      <c r="AHP49" s="33"/>
      <c r="AHZ49" s="33"/>
      <c r="AIJ49" s="33"/>
      <c r="AIT49" s="33"/>
      <c r="AJD49" s="33"/>
      <c r="AJN49" s="33"/>
      <c r="AJX49" s="33"/>
      <c r="AKH49" s="33"/>
      <c r="AKR49" s="33"/>
      <c r="ALB49" s="33"/>
      <c r="ALL49" s="33"/>
      <c r="ALV49" s="33"/>
      <c r="AMF49" s="33"/>
      <c r="AMP49" s="33"/>
      <c r="AMZ49" s="33"/>
      <c r="ANJ49" s="33"/>
      <c r="ANT49" s="33"/>
      <c r="AOD49" s="33"/>
      <c r="AON49" s="33"/>
      <c r="AOX49" s="33"/>
      <c r="APH49" s="33"/>
      <c r="APR49" s="33"/>
      <c r="AQB49" s="33"/>
      <c r="AQL49" s="33"/>
      <c r="AQV49" s="33"/>
      <c r="ARF49" s="33"/>
      <c r="ARP49" s="33"/>
      <c r="ARZ49" s="33"/>
      <c r="ASJ49" s="33"/>
      <c r="AST49" s="33"/>
      <c r="ATD49" s="33"/>
      <c r="ATN49" s="33"/>
      <c r="ATX49" s="33"/>
      <c r="AUH49" s="33"/>
      <c r="AUR49" s="33"/>
      <c r="AVB49" s="33"/>
      <c r="AVL49" s="33"/>
      <c r="AVV49" s="33"/>
      <c r="AWF49" s="33"/>
      <c r="AWP49" s="33"/>
      <c r="AWZ49" s="33"/>
      <c r="AXJ49" s="33"/>
      <c r="AXT49" s="33"/>
      <c r="AYD49" s="33"/>
      <c r="AYN49" s="33"/>
      <c r="AYX49" s="33"/>
      <c r="AZH49" s="33"/>
      <c r="AZR49" s="33"/>
      <c r="BAB49" s="33"/>
      <c r="BAL49" s="33"/>
      <c r="BAV49" s="33"/>
      <c r="BBF49" s="33"/>
      <c r="BBP49" s="33"/>
      <c r="BBZ49" s="33"/>
      <c r="BCJ49" s="33"/>
      <c r="BCT49" s="33"/>
      <c r="BDD49" s="33"/>
      <c r="BDN49" s="33"/>
      <c r="BDX49" s="33"/>
      <c r="BEH49" s="33"/>
      <c r="BER49" s="33"/>
      <c r="BFB49" s="33"/>
      <c r="BFL49" s="33"/>
      <c r="BFV49" s="33"/>
      <c r="BGF49" s="33"/>
      <c r="BGP49" s="33"/>
      <c r="BGZ49" s="33"/>
      <c r="BHJ49" s="33"/>
      <c r="BHT49" s="33"/>
      <c r="BID49" s="33"/>
      <c r="BIN49" s="33"/>
      <c r="BIX49" s="33"/>
      <c r="BJH49" s="33"/>
      <c r="BJR49" s="33"/>
      <c r="BKB49" s="33"/>
      <c r="BKL49" s="33"/>
      <c r="BKV49" s="33"/>
      <c r="BLF49" s="33"/>
      <c r="BLP49" s="33"/>
      <c r="BLZ49" s="33"/>
      <c r="BMJ49" s="33"/>
      <c r="BMT49" s="33"/>
      <c r="BND49" s="33"/>
      <c r="BNN49" s="33"/>
      <c r="BNX49" s="33"/>
      <c r="BOH49" s="33"/>
      <c r="BOR49" s="33"/>
      <c r="BPB49" s="33"/>
      <c r="BPL49" s="33"/>
      <c r="BPV49" s="33"/>
      <c r="BQF49" s="33"/>
      <c r="BQP49" s="33"/>
      <c r="BQZ49" s="33"/>
      <c r="BRJ49" s="33"/>
      <c r="BRT49" s="33"/>
      <c r="BSD49" s="33"/>
      <c r="BSN49" s="33"/>
      <c r="BSX49" s="33"/>
      <c r="BTH49" s="33"/>
      <c r="BTR49" s="33"/>
      <c r="BUB49" s="33"/>
      <c r="BUL49" s="33"/>
      <c r="BUV49" s="33"/>
      <c r="BVF49" s="33"/>
      <c r="BVP49" s="33"/>
      <c r="BVZ49" s="33"/>
      <c r="BWJ49" s="33"/>
      <c r="BWT49" s="33"/>
      <c r="BXD49" s="33"/>
      <c r="BXN49" s="33"/>
      <c r="BXX49" s="33"/>
      <c r="BYH49" s="33"/>
      <c r="BYR49" s="33"/>
      <c r="BZB49" s="33"/>
      <c r="BZL49" s="33"/>
      <c r="BZV49" s="33"/>
      <c r="CAF49" s="33"/>
      <c r="CAP49" s="33"/>
      <c r="CAZ49" s="33"/>
      <c r="CBJ49" s="33"/>
      <c r="CBT49" s="33"/>
      <c r="CCD49" s="33"/>
      <c r="CCN49" s="33"/>
      <c r="CCX49" s="33"/>
      <c r="CDH49" s="33"/>
      <c r="CDR49" s="33"/>
      <c r="CEB49" s="33"/>
      <c r="CEL49" s="33"/>
      <c r="CEV49" s="33"/>
      <c r="CFF49" s="33"/>
      <c r="CFP49" s="33"/>
      <c r="CFZ49" s="33"/>
      <c r="CGJ49" s="33"/>
      <c r="CGT49" s="33"/>
      <c r="CHD49" s="33"/>
      <c r="CHN49" s="33"/>
      <c r="CHX49" s="33"/>
      <c r="CIH49" s="33"/>
      <c r="CIR49" s="33"/>
      <c r="CJB49" s="33"/>
      <c r="CJL49" s="33"/>
      <c r="CJV49" s="33"/>
      <c r="CKF49" s="33"/>
      <c r="CKP49" s="33"/>
      <c r="CKZ49" s="33"/>
      <c r="CLJ49" s="33"/>
      <c r="CLT49" s="33"/>
      <c r="CMD49" s="33"/>
      <c r="CMN49" s="33"/>
      <c r="CMX49" s="33"/>
      <c r="CNH49" s="33"/>
      <c r="CNR49" s="33"/>
      <c r="COB49" s="33"/>
      <c r="COL49" s="33"/>
      <c r="COV49" s="33"/>
      <c r="CPF49" s="33"/>
      <c r="CPP49" s="33"/>
      <c r="CPZ49" s="33"/>
      <c r="CQJ49" s="33"/>
      <c r="CQT49" s="33"/>
      <c r="CRD49" s="33"/>
      <c r="CRN49" s="33"/>
      <c r="CRX49" s="33"/>
      <c r="CSH49" s="33"/>
      <c r="CSR49" s="33"/>
      <c r="CTB49" s="33"/>
      <c r="CTL49" s="33"/>
      <c r="CTV49" s="33"/>
    </row>
    <row r="50" s="16" customFormat="1" customHeight="1" spans="1:1020 1030:2040 2050:2570">
      <c r="A50" s="57"/>
      <c r="B50" s="52"/>
      <c r="C50" s="52"/>
      <c r="D50" s="52"/>
      <c r="E50" s="52"/>
      <c r="F50" s="58" t="str">
        <f>IFERROR(VLOOKUP(E50,日报!E:G,2,0),"")</f>
        <v/>
      </c>
      <c r="G50" s="52"/>
      <c r="H50" s="53" t="str">
        <f>IFERROR(VLOOKUP(E50,基础数据!$E$4:$H$4,4,0),"")</f>
        <v/>
      </c>
      <c r="I50" s="53" t="str">
        <f>IFERROR(VLOOKUP(E50,基础数据!$E$4:$H$4,3,0),"")</f>
        <v/>
      </c>
      <c r="J50" s="52"/>
      <c r="K50" s="54" t="str">
        <f t="shared" si="0"/>
        <v/>
      </c>
      <c r="T50" s="33"/>
      <c r="AD50" s="33"/>
      <c r="AN50" s="33"/>
      <c r="AX50" s="33"/>
      <c r="BH50" s="33"/>
      <c r="BR50" s="33"/>
      <c r="CB50" s="33"/>
      <c r="CL50" s="33"/>
      <c r="CV50" s="33"/>
      <c r="DF50" s="33"/>
      <c r="DP50" s="33"/>
      <c r="DZ50" s="33"/>
      <c r="EJ50" s="33"/>
      <c r="ET50" s="33"/>
      <c r="FD50" s="33"/>
      <c r="FN50" s="33"/>
      <c r="FX50" s="33"/>
      <c r="GH50" s="33"/>
      <c r="GR50" s="33"/>
      <c r="HB50" s="33"/>
      <c r="HL50" s="33"/>
      <c r="HV50" s="33"/>
      <c r="IF50" s="33"/>
      <c r="IP50" s="33"/>
      <c r="IZ50" s="33"/>
      <c r="JJ50" s="33"/>
      <c r="JT50" s="33"/>
      <c r="KD50" s="33"/>
      <c r="KN50" s="33"/>
      <c r="KX50" s="33"/>
      <c r="LH50" s="33"/>
      <c r="LR50" s="33"/>
      <c r="MB50" s="33"/>
      <c r="ML50" s="33"/>
      <c r="MV50" s="33"/>
      <c r="NF50" s="33"/>
      <c r="NP50" s="33"/>
      <c r="NZ50" s="33"/>
      <c r="OJ50" s="33"/>
      <c r="OT50" s="33"/>
      <c r="PD50" s="33"/>
      <c r="PN50" s="33"/>
      <c r="PX50" s="33"/>
      <c r="QH50" s="33"/>
      <c r="QR50" s="33"/>
      <c r="RB50" s="33"/>
      <c r="RL50" s="33"/>
      <c r="RV50" s="33"/>
      <c r="SF50" s="33"/>
      <c r="SP50" s="33"/>
      <c r="SZ50" s="33"/>
      <c r="TJ50" s="33"/>
      <c r="TT50" s="33"/>
      <c r="UD50" s="33"/>
      <c r="UN50" s="33"/>
      <c r="UX50" s="33"/>
      <c r="VH50" s="33"/>
      <c r="VR50" s="33"/>
      <c r="WB50" s="33"/>
      <c r="WL50" s="33"/>
      <c r="WV50" s="33"/>
      <c r="XF50" s="33"/>
      <c r="XP50" s="33"/>
      <c r="XZ50" s="33"/>
      <c r="YJ50" s="33"/>
      <c r="YT50" s="33"/>
      <c r="ZD50" s="33"/>
      <c r="ZN50" s="33"/>
      <c r="ZX50" s="33"/>
      <c r="AAH50" s="33"/>
      <c r="AAR50" s="33"/>
      <c r="ABB50" s="33"/>
      <c r="ABL50" s="33"/>
      <c r="ABV50" s="33"/>
      <c r="ACF50" s="33"/>
      <c r="ACP50" s="33"/>
      <c r="ACZ50" s="33"/>
      <c r="ADJ50" s="33"/>
      <c r="ADT50" s="33"/>
      <c r="AED50" s="33"/>
      <c r="AEN50" s="33"/>
      <c r="AEX50" s="33"/>
      <c r="AFH50" s="33"/>
      <c r="AFR50" s="33"/>
      <c r="AGB50" s="33"/>
      <c r="AGL50" s="33"/>
      <c r="AGV50" s="33"/>
      <c r="AHF50" s="33"/>
      <c r="AHP50" s="33"/>
      <c r="AHZ50" s="33"/>
      <c r="AIJ50" s="33"/>
      <c r="AIT50" s="33"/>
      <c r="AJD50" s="33"/>
      <c r="AJN50" s="33"/>
      <c r="AJX50" s="33"/>
      <c r="AKH50" s="33"/>
      <c r="AKR50" s="33"/>
      <c r="ALB50" s="33"/>
      <c r="ALL50" s="33"/>
      <c r="ALV50" s="33"/>
      <c r="AMF50" s="33"/>
      <c r="AMP50" s="33"/>
      <c r="AMZ50" s="33"/>
      <c r="ANJ50" s="33"/>
      <c r="ANT50" s="33"/>
      <c r="AOD50" s="33"/>
      <c r="AON50" s="33"/>
      <c r="AOX50" s="33"/>
      <c r="APH50" s="33"/>
      <c r="APR50" s="33"/>
      <c r="AQB50" s="33"/>
      <c r="AQL50" s="33"/>
      <c r="AQV50" s="33"/>
      <c r="ARF50" s="33"/>
      <c r="ARP50" s="33"/>
      <c r="ARZ50" s="33"/>
      <c r="ASJ50" s="33"/>
      <c r="AST50" s="33"/>
      <c r="ATD50" s="33"/>
      <c r="ATN50" s="33"/>
      <c r="ATX50" s="33"/>
      <c r="AUH50" s="33"/>
      <c r="AUR50" s="33"/>
      <c r="AVB50" s="33"/>
      <c r="AVL50" s="33"/>
      <c r="AVV50" s="33"/>
      <c r="AWF50" s="33"/>
      <c r="AWP50" s="33"/>
      <c r="AWZ50" s="33"/>
      <c r="AXJ50" s="33"/>
      <c r="AXT50" s="33"/>
      <c r="AYD50" s="33"/>
      <c r="AYN50" s="33"/>
      <c r="AYX50" s="33"/>
      <c r="AZH50" s="33"/>
      <c r="AZR50" s="33"/>
      <c r="BAB50" s="33"/>
      <c r="BAL50" s="33"/>
      <c r="BAV50" s="33"/>
      <c r="BBF50" s="33"/>
      <c r="BBP50" s="33"/>
      <c r="BBZ50" s="33"/>
      <c r="BCJ50" s="33"/>
      <c r="BCT50" s="33"/>
      <c r="BDD50" s="33"/>
      <c r="BDN50" s="33"/>
      <c r="BDX50" s="33"/>
      <c r="BEH50" s="33"/>
      <c r="BER50" s="33"/>
      <c r="BFB50" s="33"/>
      <c r="BFL50" s="33"/>
      <c r="BFV50" s="33"/>
      <c r="BGF50" s="33"/>
      <c r="BGP50" s="33"/>
      <c r="BGZ50" s="33"/>
      <c r="BHJ50" s="33"/>
      <c r="BHT50" s="33"/>
      <c r="BID50" s="33"/>
      <c r="BIN50" s="33"/>
      <c r="BIX50" s="33"/>
      <c r="BJH50" s="33"/>
      <c r="BJR50" s="33"/>
      <c r="BKB50" s="33"/>
      <c r="BKL50" s="33"/>
      <c r="BKV50" s="33"/>
      <c r="BLF50" s="33"/>
      <c r="BLP50" s="33"/>
      <c r="BLZ50" s="33"/>
      <c r="BMJ50" s="33"/>
      <c r="BMT50" s="33"/>
      <c r="BND50" s="33"/>
      <c r="BNN50" s="33"/>
      <c r="BNX50" s="33"/>
      <c r="BOH50" s="33"/>
      <c r="BOR50" s="33"/>
      <c r="BPB50" s="33"/>
      <c r="BPL50" s="33"/>
      <c r="BPV50" s="33"/>
      <c r="BQF50" s="33"/>
      <c r="BQP50" s="33"/>
      <c r="BQZ50" s="33"/>
      <c r="BRJ50" s="33"/>
      <c r="BRT50" s="33"/>
      <c r="BSD50" s="33"/>
      <c r="BSN50" s="33"/>
      <c r="BSX50" s="33"/>
      <c r="BTH50" s="33"/>
      <c r="BTR50" s="33"/>
      <c r="BUB50" s="33"/>
      <c r="BUL50" s="33"/>
      <c r="BUV50" s="33"/>
      <c r="BVF50" s="33"/>
      <c r="BVP50" s="33"/>
      <c r="BVZ50" s="33"/>
      <c r="BWJ50" s="33"/>
      <c r="BWT50" s="33"/>
      <c r="BXD50" s="33"/>
      <c r="BXN50" s="33"/>
      <c r="BXX50" s="33"/>
      <c r="BYH50" s="33"/>
      <c r="BYR50" s="33"/>
      <c r="BZB50" s="33"/>
      <c r="BZL50" s="33"/>
      <c r="BZV50" s="33"/>
      <c r="CAF50" s="33"/>
      <c r="CAP50" s="33"/>
      <c r="CAZ50" s="33"/>
      <c r="CBJ50" s="33"/>
      <c r="CBT50" s="33"/>
      <c r="CCD50" s="33"/>
      <c r="CCN50" s="33"/>
      <c r="CCX50" s="33"/>
      <c r="CDH50" s="33"/>
      <c r="CDR50" s="33"/>
      <c r="CEB50" s="33"/>
      <c r="CEL50" s="33"/>
      <c r="CEV50" s="33"/>
      <c r="CFF50" s="33"/>
      <c r="CFP50" s="33"/>
      <c r="CFZ50" s="33"/>
      <c r="CGJ50" s="33"/>
      <c r="CGT50" s="33"/>
      <c r="CHD50" s="33"/>
      <c r="CHN50" s="33"/>
      <c r="CHX50" s="33"/>
      <c r="CIH50" s="33"/>
      <c r="CIR50" s="33"/>
      <c r="CJB50" s="33"/>
      <c r="CJL50" s="33"/>
      <c r="CJV50" s="33"/>
      <c r="CKF50" s="33"/>
      <c r="CKP50" s="33"/>
      <c r="CKZ50" s="33"/>
      <c r="CLJ50" s="33"/>
      <c r="CLT50" s="33"/>
      <c r="CMD50" s="33"/>
      <c r="CMN50" s="33"/>
      <c r="CMX50" s="33"/>
      <c r="CNH50" s="33"/>
      <c r="CNR50" s="33"/>
      <c r="COB50" s="33"/>
      <c r="COL50" s="33"/>
      <c r="COV50" s="33"/>
      <c r="CPF50" s="33"/>
      <c r="CPP50" s="33"/>
      <c r="CPZ50" s="33"/>
      <c r="CQJ50" s="33"/>
      <c r="CQT50" s="33"/>
      <c r="CRD50" s="33"/>
      <c r="CRN50" s="33"/>
      <c r="CRX50" s="33"/>
      <c r="CSH50" s="33"/>
      <c r="CSR50" s="33"/>
      <c r="CTB50" s="33"/>
      <c r="CTL50" s="33"/>
      <c r="CTV50" s="33"/>
    </row>
    <row r="51" s="16" customFormat="1" customHeight="1" spans="1:1020 1030:2040 2050:2570">
      <c r="A51" s="57"/>
      <c r="B51" s="52"/>
      <c r="C51" s="52"/>
      <c r="D51" s="52"/>
      <c r="E51" s="52"/>
      <c r="F51" s="58" t="str">
        <f>IFERROR(VLOOKUP(E51,日报!E:G,2,0),"")</f>
        <v/>
      </c>
      <c r="G51" s="52"/>
      <c r="H51" s="53" t="str">
        <f>IFERROR(VLOOKUP(E51,基础数据!$E$4:$H$4,4,0),"")</f>
        <v/>
      </c>
      <c r="I51" s="53" t="str">
        <f>IFERROR(VLOOKUP(E51,基础数据!$E$4:$H$4,3,0),"")</f>
        <v/>
      </c>
      <c r="J51" s="52"/>
      <c r="K51" s="54" t="str">
        <f t="shared" si="0"/>
        <v/>
      </c>
      <c r="T51" s="33"/>
      <c r="AD51" s="33"/>
      <c r="AN51" s="33"/>
      <c r="AX51" s="33"/>
      <c r="BH51" s="33"/>
      <c r="BR51" s="33"/>
      <c r="CB51" s="33"/>
      <c r="CL51" s="33"/>
      <c r="CV51" s="33"/>
      <c r="DF51" s="33"/>
      <c r="DP51" s="33"/>
      <c r="DZ51" s="33"/>
      <c r="EJ51" s="33"/>
      <c r="ET51" s="33"/>
      <c r="FD51" s="33"/>
      <c r="FN51" s="33"/>
      <c r="FX51" s="33"/>
      <c r="GH51" s="33"/>
      <c r="GR51" s="33"/>
      <c r="HB51" s="33"/>
      <c r="HL51" s="33"/>
      <c r="HV51" s="33"/>
      <c r="IF51" s="33"/>
      <c r="IP51" s="33"/>
      <c r="IZ51" s="33"/>
      <c r="JJ51" s="33"/>
      <c r="JT51" s="33"/>
      <c r="KD51" s="33"/>
      <c r="KN51" s="33"/>
      <c r="KX51" s="33"/>
      <c r="LH51" s="33"/>
      <c r="LR51" s="33"/>
      <c r="MB51" s="33"/>
      <c r="ML51" s="33"/>
      <c r="MV51" s="33"/>
      <c r="NF51" s="33"/>
      <c r="NP51" s="33"/>
      <c r="NZ51" s="33"/>
      <c r="OJ51" s="33"/>
      <c r="OT51" s="33"/>
      <c r="PD51" s="33"/>
      <c r="PN51" s="33"/>
      <c r="PX51" s="33"/>
      <c r="QH51" s="33"/>
      <c r="QR51" s="33"/>
      <c r="RB51" s="33"/>
      <c r="RL51" s="33"/>
      <c r="RV51" s="33"/>
      <c r="SF51" s="33"/>
      <c r="SP51" s="33"/>
      <c r="SZ51" s="33"/>
      <c r="TJ51" s="33"/>
      <c r="TT51" s="33"/>
      <c r="UD51" s="33"/>
      <c r="UN51" s="33"/>
      <c r="UX51" s="33"/>
      <c r="VH51" s="33"/>
      <c r="VR51" s="33"/>
      <c r="WB51" s="33"/>
      <c r="WL51" s="33"/>
      <c r="WV51" s="33"/>
      <c r="XF51" s="33"/>
      <c r="XP51" s="33"/>
      <c r="XZ51" s="33"/>
      <c r="YJ51" s="33"/>
      <c r="YT51" s="33"/>
      <c r="ZD51" s="33"/>
      <c r="ZN51" s="33"/>
      <c r="ZX51" s="33"/>
      <c r="AAH51" s="33"/>
      <c r="AAR51" s="33"/>
      <c r="ABB51" s="33"/>
      <c r="ABL51" s="33"/>
      <c r="ABV51" s="33"/>
      <c r="ACF51" s="33"/>
      <c r="ACP51" s="33"/>
      <c r="ACZ51" s="33"/>
      <c r="ADJ51" s="33"/>
      <c r="ADT51" s="33"/>
      <c r="AED51" s="33"/>
      <c r="AEN51" s="33"/>
      <c r="AEX51" s="33"/>
      <c r="AFH51" s="33"/>
      <c r="AFR51" s="33"/>
      <c r="AGB51" s="33"/>
      <c r="AGL51" s="33"/>
      <c r="AGV51" s="33"/>
      <c r="AHF51" s="33"/>
      <c r="AHP51" s="33"/>
      <c r="AHZ51" s="33"/>
      <c r="AIJ51" s="33"/>
      <c r="AIT51" s="33"/>
      <c r="AJD51" s="33"/>
      <c r="AJN51" s="33"/>
      <c r="AJX51" s="33"/>
      <c r="AKH51" s="33"/>
      <c r="AKR51" s="33"/>
      <c r="ALB51" s="33"/>
      <c r="ALL51" s="33"/>
      <c r="ALV51" s="33"/>
      <c r="AMF51" s="33"/>
      <c r="AMP51" s="33"/>
      <c r="AMZ51" s="33"/>
      <c r="ANJ51" s="33"/>
      <c r="ANT51" s="33"/>
      <c r="AOD51" s="33"/>
      <c r="AON51" s="33"/>
      <c r="AOX51" s="33"/>
      <c r="APH51" s="33"/>
      <c r="APR51" s="33"/>
      <c r="AQB51" s="33"/>
      <c r="AQL51" s="33"/>
      <c r="AQV51" s="33"/>
      <c r="ARF51" s="33"/>
      <c r="ARP51" s="33"/>
      <c r="ARZ51" s="33"/>
      <c r="ASJ51" s="33"/>
      <c r="AST51" s="33"/>
      <c r="ATD51" s="33"/>
      <c r="ATN51" s="33"/>
      <c r="ATX51" s="33"/>
      <c r="AUH51" s="33"/>
      <c r="AUR51" s="33"/>
      <c r="AVB51" s="33"/>
      <c r="AVL51" s="33"/>
      <c r="AVV51" s="33"/>
      <c r="AWF51" s="33"/>
      <c r="AWP51" s="33"/>
      <c r="AWZ51" s="33"/>
      <c r="AXJ51" s="33"/>
      <c r="AXT51" s="33"/>
      <c r="AYD51" s="33"/>
      <c r="AYN51" s="33"/>
      <c r="AYX51" s="33"/>
      <c r="AZH51" s="33"/>
      <c r="AZR51" s="33"/>
      <c r="BAB51" s="33"/>
      <c r="BAL51" s="33"/>
      <c r="BAV51" s="33"/>
      <c r="BBF51" s="33"/>
      <c r="BBP51" s="33"/>
      <c r="BBZ51" s="33"/>
      <c r="BCJ51" s="33"/>
      <c r="BCT51" s="33"/>
      <c r="BDD51" s="33"/>
      <c r="BDN51" s="33"/>
      <c r="BDX51" s="33"/>
      <c r="BEH51" s="33"/>
      <c r="BER51" s="33"/>
      <c r="BFB51" s="33"/>
      <c r="BFL51" s="33"/>
      <c r="BFV51" s="33"/>
      <c r="BGF51" s="33"/>
      <c r="BGP51" s="33"/>
      <c r="BGZ51" s="33"/>
      <c r="BHJ51" s="33"/>
      <c r="BHT51" s="33"/>
      <c r="BID51" s="33"/>
      <c r="BIN51" s="33"/>
      <c r="BIX51" s="33"/>
      <c r="BJH51" s="33"/>
      <c r="BJR51" s="33"/>
      <c r="BKB51" s="33"/>
      <c r="BKL51" s="33"/>
      <c r="BKV51" s="33"/>
      <c r="BLF51" s="33"/>
      <c r="BLP51" s="33"/>
      <c r="BLZ51" s="33"/>
      <c r="BMJ51" s="33"/>
      <c r="BMT51" s="33"/>
      <c r="BND51" s="33"/>
      <c r="BNN51" s="33"/>
      <c r="BNX51" s="33"/>
      <c r="BOH51" s="33"/>
      <c r="BOR51" s="33"/>
      <c r="BPB51" s="33"/>
      <c r="BPL51" s="33"/>
      <c r="BPV51" s="33"/>
      <c r="BQF51" s="33"/>
      <c r="BQP51" s="33"/>
      <c r="BQZ51" s="33"/>
      <c r="BRJ51" s="33"/>
      <c r="BRT51" s="33"/>
      <c r="BSD51" s="33"/>
      <c r="BSN51" s="33"/>
      <c r="BSX51" s="33"/>
      <c r="BTH51" s="33"/>
      <c r="BTR51" s="33"/>
      <c r="BUB51" s="33"/>
      <c r="BUL51" s="33"/>
      <c r="BUV51" s="33"/>
      <c r="BVF51" s="33"/>
      <c r="BVP51" s="33"/>
      <c r="BVZ51" s="33"/>
      <c r="BWJ51" s="33"/>
      <c r="BWT51" s="33"/>
      <c r="BXD51" s="33"/>
      <c r="BXN51" s="33"/>
      <c r="BXX51" s="33"/>
      <c r="BYH51" s="33"/>
      <c r="BYR51" s="33"/>
      <c r="BZB51" s="33"/>
      <c r="BZL51" s="33"/>
      <c r="BZV51" s="33"/>
      <c r="CAF51" s="33"/>
      <c r="CAP51" s="33"/>
      <c r="CAZ51" s="33"/>
      <c r="CBJ51" s="33"/>
      <c r="CBT51" s="33"/>
      <c r="CCD51" s="33"/>
      <c r="CCN51" s="33"/>
      <c r="CCX51" s="33"/>
      <c r="CDH51" s="33"/>
      <c r="CDR51" s="33"/>
      <c r="CEB51" s="33"/>
      <c r="CEL51" s="33"/>
      <c r="CEV51" s="33"/>
      <c r="CFF51" s="33"/>
      <c r="CFP51" s="33"/>
      <c r="CFZ51" s="33"/>
      <c r="CGJ51" s="33"/>
      <c r="CGT51" s="33"/>
      <c r="CHD51" s="33"/>
      <c r="CHN51" s="33"/>
      <c r="CHX51" s="33"/>
      <c r="CIH51" s="33"/>
      <c r="CIR51" s="33"/>
      <c r="CJB51" s="33"/>
      <c r="CJL51" s="33"/>
      <c r="CJV51" s="33"/>
      <c r="CKF51" s="33"/>
      <c r="CKP51" s="33"/>
      <c r="CKZ51" s="33"/>
      <c r="CLJ51" s="33"/>
      <c r="CLT51" s="33"/>
      <c r="CMD51" s="33"/>
      <c r="CMN51" s="33"/>
      <c r="CMX51" s="33"/>
      <c r="CNH51" s="33"/>
      <c r="CNR51" s="33"/>
      <c r="COB51" s="33"/>
      <c r="COL51" s="33"/>
      <c r="COV51" s="33"/>
      <c r="CPF51" s="33"/>
      <c r="CPP51" s="33"/>
      <c r="CPZ51" s="33"/>
      <c r="CQJ51" s="33"/>
      <c r="CQT51" s="33"/>
      <c r="CRD51" s="33"/>
      <c r="CRN51" s="33"/>
      <c r="CRX51" s="33"/>
      <c r="CSH51" s="33"/>
      <c r="CSR51" s="33"/>
      <c r="CTB51" s="33"/>
      <c r="CTL51" s="33"/>
      <c r="CTV51" s="33"/>
    </row>
    <row r="52" s="16" customFormat="1" customHeight="1" spans="1:1020 1030:2040 2050:2570">
      <c r="A52" s="57"/>
      <c r="B52" s="52"/>
      <c r="C52" s="52"/>
      <c r="D52" s="52"/>
      <c r="E52" s="52"/>
      <c r="F52" s="58" t="str">
        <f>IFERROR(VLOOKUP(E52,日报!E:G,2,0),"")</f>
        <v/>
      </c>
      <c r="G52" s="52"/>
      <c r="H52" s="53" t="str">
        <f>IFERROR(VLOOKUP(E52,基础数据!$E$4:$H$4,4,0),"")</f>
        <v/>
      </c>
      <c r="I52" s="53" t="str">
        <f>IFERROR(VLOOKUP(E52,基础数据!$E$4:$H$4,3,0),"")</f>
        <v/>
      </c>
      <c r="J52" s="52"/>
      <c r="K52" s="54" t="str">
        <f t="shared" si="0"/>
        <v/>
      </c>
      <c r="T52" s="33"/>
      <c r="AD52" s="33"/>
      <c r="AN52" s="33"/>
      <c r="AX52" s="33"/>
      <c r="BH52" s="33"/>
      <c r="BR52" s="33"/>
      <c r="CB52" s="33"/>
      <c r="CL52" s="33"/>
      <c r="CV52" s="33"/>
      <c r="DF52" s="33"/>
      <c r="DP52" s="33"/>
      <c r="DZ52" s="33"/>
      <c r="EJ52" s="33"/>
      <c r="ET52" s="33"/>
      <c r="FD52" s="33"/>
      <c r="FN52" s="33"/>
      <c r="FX52" s="33"/>
      <c r="GH52" s="33"/>
      <c r="GR52" s="33"/>
      <c r="HB52" s="33"/>
      <c r="HL52" s="33"/>
      <c r="HV52" s="33"/>
      <c r="IF52" s="33"/>
      <c r="IP52" s="33"/>
      <c r="IZ52" s="33"/>
      <c r="JJ52" s="33"/>
      <c r="JT52" s="33"/>
      <c r="KD52" s="33"/>
      <c r="KN52" s="33"/>
      <c r="KX52" s="33"/>
      <c r="LH52" s="33"/>
      <c r="LR52" s="33"/>
      <c r="MB52" s="33"/>
      <c r="ML52" s="33"/>
      <c r="MV52" s="33"/>
      <c r="NF52" s="33"/>
      <c r="NP52" s="33"/>
      <c r="NZ52" s="33"/>
      <c r="OJ52" s="33"/>
      <c r="OT52" s="33"/>
      <c r="PD52" s="33"/>
      <c r="PN52" s="33"/>
      <c r="PX52" s="33"/>
      <c r="QH52" s="33"/>
      <c r="QR52" s="33"/>
      <c r="RB52" s="33"/>
      <c r="RL52" s="33"/>
      <c r="RV52" s="33"/>
      <c r="SF52" s="33"/>
      <c r="SP52" s="33"/>
      <c r="SZ52" s="33"/>
      <c r="TJ52" s="33"/>
      <c r="TT52" s="33"/>
      <c r="UD52" s="33"/>
      <c r="UN52" s="33"/>
      <c r="UX52" s="33"/>
      <c r="VH52" s="33"/>
      <c r="VR52" s="33"/>
      <c r="WB52" s="33"/>
      <c r="WL52" s="33"/>
      <c r="WV52" s="33"/>
      <c r="XF52" s="33"/>
      <c r="XP52" s="33"/>
      <c r="XZ52" s="33"/>
      <c r="YJ52" s="33"/>
      <c r="YT52" s="33"/>
      <c r="ZD52" s="33"/>
      <c r="ZN52" s="33"/>
      <c r="ZX52" s="33"/>
      <c r="AAH52" s="33"/>
      <c r="AAR52" s="33"/>
      <c r="ABB52" s="33"/>
      <c r="ABL52" s="33"/>
      <c r="ABV52" s="33"/>
      <c r="ACF52" s="33"/>
      <c r="ACP52" s="33"/>
      <c r="ACZ52" s="33"/>
      <c r="ADJ52" s="33"/>
      <c r="ADT52" s="33"/>
      <c r="AED52" s="33"/>
      <c r="AEN52" s="33"/>
      <c r="AEX52" s="33"/>
      <c r="AFH52" s="33"/>
      <c r="AFR52" s="33"/>
      <c r="AGB52" s="33"/>
      <c r="AGL52" s="33"/>
      <c r="AGV52" s="33"/>
      <c r="AHF52" s="33"/>
      <c r="AHP52" s="33"/>
      <c r="AHZ52" s="33"/>
      <c r="AIJ52" s="33"/>
      <c r="AIT52" s="33"/>
      <c r="AJD52" s="33"/>
      <c r="AJN52" s="33"/>
      <c r="AJX52" s="33"/>
      <c r="AKH52" s="33"/>
      <c r="AKR52" s="33"/>
      <c r="ALB52" s="33"/>
      <c r="ALL52" s="33"/>
      <c r="ALV52" s="33"/>
      <c r="AMF52" s="33"/>
      <c r="AMP52" s="33"/>
      <c r="AMZ52" s="33"/>
      <c r="ANJ52" s="33"/>
      <c r="ANT52" s="33"/>
      <c r="AOD52" s="33"/>
      <c r="AON52" s="33"/>
      <c r="AOX52" s="33"/>
      <c r="APH52" s="33"/>
      <c r="APR52" s="33"/>
      <c r="AQB52" s="33"/>
      <c r="AQL52" s="33"/>
      <c r="AQV52" s="33"/>
      <c r="ARF52" s="33"/>
      <c r="ARP52" s="33"/>
      <c r="ARZ52" s="33"/>
      <c r="ASJ52" s="33"/>
      <c r="AST52" s="33"/>
      <c r="ATD52" s="33"/>
      <c r="ATN52" s="33"/>
      <c r="ATX52" s="33"/>
      <c r="AUH52" s="33"/>
      <c r="AUR52" s="33"/>
      <c r="AVB52" s="33"/>
      <c r="AVL52" s="33"/>
      <c r="AVV52" s="33"/>
      <c r="AWF52" s="33"/>
      <c r="AWP52" s="33"/>
      <c r="AWZ52" s="33"/>
      <c r="AXJ52" s="33"/>
      <c r="AXT52" s="33"/>
      <c r="AYD52" s="33"/>
      <c r="AYN52" s="33"/>
      <c r="AYX52" s="33"/>
      <c r="AZH52" s="33"/>
      <c r="AZR52" s="33"/>
      <c r="BAB52" s="33"/>
      <c r="BAL52" s="33"/>
      <c r="BAV52" s="33"/>
      <c r="BBF52" s="33"/>
      <c r="BBP52" s="33"/>
      <c r="BBZ52" s="33"/>
      <c r="BCJ52" s="33"/>
      <c r="BCT52" s="33"/>
      <c r="BDD52" s="33"/>
      <c r="BDN52" s="33"/>
      <c r="BDX52" s="33"/>
      <c r="BEH52" s="33"/>
      <c r="BER52" s="33"/>
      <c r="BFB52" s="33"/>
      <c r="BFL52" s="33"/>
      <c r="BFV52" s="33"/>
      <c r="BGF52" s="33"/>
      <c r="BGP52" s="33"/>
      <c r="BGZ52" s="33"/>
      <c r="BHJ52" s="33"/>
      <c r="BHT52" s="33"/>
      <c r="BID52" s="33"/>
      <c r="BIN52" s="33"/>
      <c r="BIX52" s="33"/>
      <c r="BJH52" s="33"/>
      <c r="BJR52" s="33"/>
      <c r="BKB52" s="33"/>
      <c r="BKL52" s="33"/>
      <c r="BKV52" s="33"/>
      <c r="BLF52" s="33"/>
      <c r="BLP52" s="33"/>
      <c r="BLZ52" s="33"/>
      <c r="BMJ52" s="33"/>
      <c r="BMT52" s="33"/>
      <c r="BND52" s="33"/>
      <c r="BNN52" s="33"/>
      <c r="BNX52" s="33"/>
      <c r="BOH52" s="33"/>
      <c r="BOR52" s="33"/>
      <c r="BPB52" s="33"/>
      <c r="BPL52" s="33"/>
      <c r="BPV52" s="33"/>
      <c r="BQF52" s="33"/>
      <c r="BQP52" s="33"/>
      <c r="BQZ52" s="33"/>
      <c r="BRJ52" s="33"/>
      <c r="BRT52" s="33"/>
      <c r="BSD52" s="33"/>
      <c r="BSN52" s="33"/>
      <c r="BSX52" s="33"/>
      <c r="BTH52" s="33"/>
      <c r="BTR52" s="33"/>
      <c r="BUB52" s="33"/>
      <c r="BUL52" s="33"/>
      <c r="BUV52" s="33"/>
      <c r="BVF52" s="33"/>
      <c r="BVP52" s="33"/>
      <c r="BVZ52" s="33"/>
      <c r="BWJ52" s="33"/>
      <c r="BWT52" s="33"/>
      <c r="BXD52" s="33"/>
      <c r="BXN52" s="33"/>
      <c r="BXX52" s="33"/>
      <c r="BYH52" s="33"/>
      <c r="BYR52" s="33"/>
      <c r="BZB52" s="33"/>
      <c r="BZL52" s="33"/>
      <c r="BZV52" s="33"/>
      <c r="CAF52" s="33"/>
      <c r="CAP52" s="33"/>
      <c r="CAZ52" s="33"/>
      <c r="CBJ52" s="33"/>
      <c r="CBT52" s="33"/>
      <c r="CCD52" s="33"/>
      <c r="CCN52" s="33"/>
      <c r="CCX52" s="33"/>
      <c r="CDH52" s="33"/>
      <c r="CDR52" s="33"/>
      <c r="CEB52" s="33"/>
      <c r="CEL52" s="33"/>
      <c r="CEV52" s="33"/>
      <c r="CFF52" s="33"/>
      <c r="CFP52" s="33"/>
      <c r="CFZ52" s="33"/>
      <c r="CGJ52" s="33"/>
      <c r="CGT52" s="33"/>
      <c r="CHD52" s="33"/>
      <c r="CHN52" s="33"/>
      <c r="CHX52" s="33"/>
      <c r="CIH52" s="33"/>
      <c r="CIR52" s="33"/>
      <c r="CJB52" s="33"/>
      <c r="CJL52" s="33"/>
      <c r="CJV52" s="33"/>
      <c r="CKF52" s="33"/>
      <c r="CKP52" s="33"/>
      <c r="CKZ52" s="33"/>
      <c r="CLJ52" s="33"/>
      <c r="CLT52" s="33"/>
      <c r="CMD52" s="33"/>
      <c r="CMN52" s="33"/>
      <c r="CMX52" s="33"/>
      <c r="CNH52" s="33"/>
      <c r="CNR52" s="33"/>
      <c r="COB52" s="33"/>
      <c r="COL52" s="33"/>
      <c r="COV52" s="33"/>
      <c r="CPF52" s="33"/>
      <c r="CPP52" s="33"/>
      <c r="CPZ52" s="33"/>
      <c r="CQJ52" s="33"/>
      <c r="CQT52" s="33"/>
      <c r="CRD52" s="33"/>
      <c r="CRN52" s="33"/>
      <c r="CRX52" s="33"/>
      <c r="CSH52" s="33"/>
      <c r="CSR52" s="33"/>
      <c r="CTB52" s="33"/>
      <c r="CTL52" s="33"/>
      <c r="CTV52" s="33"/>
    </row>
    <row r="53" s="16" customFormat="1" customHeight="1" spans="1:1020 1030:2040 2050:2570">
      <c r="A53" s="57"/>
      <c r="B53" s="52"/>
      <c r="C53" s="52"/>
      <c r="D53" s="52"/>
      <c r="E53" s="52"/>
      <c r="F53" s="58" t="str">
        <f>IFERROR(VLOOKUP(E53,日报!E:G,2,0),"")</f>
        <v/>
      </c>
      <c r="G53" s="52"/>
      <c r="H53" s="53" t="str">
        <f>IFERROR(VLOOKUP(E53,基础数据!$E$4:$H$4,4,0),"")</f>
        <v/>
      </c>
      <c r="I53" s="53" t="str">
        <f>IFERROR(VLOOKUP(E53,基础数据!$E$4:$H$4,3,0),"")</f>
        <v/>
      </c>
      <c r="J53" s="52"/>
      <c r="K53" s="54" t="str">
        <f t="shared" si="0"/>
        <v/>
      </c>
      <c r="T53" s="33"/>
      <c r="AD53" s="33"/>
      <c r="AN53" s="33"/>
      <c r="AX53" s="33"/>
      <c r="BH53" s="33"/>
      <c r="BR53" s="33"/>
      <c r="CB53" s="33"/>
      <c r="CL53" s="33"/>
      <c r="CV53" s="33"/>
      <c r="DF53" s="33"/>
      <c r="DP53" s="33"/>
      <c r="DZ53" s="33"/>
      <c r="EJ53" s="33"/>
      <c r="ET53" s="33"/>
      <c r="FD53" s="33"/>
      <c r="FN53" s="33"/>
      <c r="FX53" s="33"/>
      <c r="GH53" s="33"/>
      <c r="GR53" s="33"/>
      <c r="HB53" s="33"/>
      <c r="HL53" s="33"/>
      <c r="HV53" s="33"/>
      <c r="IF53" s="33"/>
      <c r="IP53" s="33"/>
      <c r="IZ53" s="33"/>
      <c r="JJ53" s="33"/>
      <c r="JT53" s="33"/>
      <c r="KD53" s="33"/>
      <c r="KN53" s="33"/>
      <c r="KX53" s="33"/>
      <c r="LH53" s="33"/>
      <c r="LR53" s="33"/>
      <c r="MB53" s="33"/>
      <c r="ML53" s="33"/>
      <c r="MV53" s="33"/>
      <c r="NF53" s="33"/>
      <c r="NP53" s="33"/>
      <c r="NZ53" s="33"/>
      <c r="OJ53" s="33"/>
      <c r="OT53" s="33"/>
      <c r="PD53" s="33"/>
      <c r="PN53" s="33"/>
      <c r="PX53" s="33"/>
      <c r="QH53" s="33"/>
      <c r="QR53" s="33"/>
      <c r="RB53" s="33"/>
      <c r="RL53" s="33"/>
      <c r="RV53" s="33"/>
      <c r="SF53" s="33"/>
      <c r="SP53" s="33"/>
      <c r="SZ53" s="33"/>
      <c r="TJ53" s="33"/>
      <c r="TT53" s="33"/>
      <c r="UD53" s="33"/>
      <c r="UN53" s="33"/>
      <c r="UX53" s="33"/>
      <c r="VH53" s="33"/>
      <c r="VR53" s="33"/>
      <c r="WB53" s="33"/>
      <c r="WL53" s="33"/>
      <c r="WV53" s="33"/>
      <c r="XF53" s="33"/>
      <c r="XP53" s="33"/>
      <c r="XZ53" s="33"/>
      <c r="YJ53" s="33"/>
      <c r="YT53" s="33"/>
      <c r="ZD53" s="33"/>
      <c r="ZN53" s="33"/>
      <c r="ZX53" s="33"/>
      <c r="AAH53" s="33"/>
      <c r="AAR53" s="33"/>
      <c r="ABB53" s="33"/>
      <c r="ABL53" s="33"/>
      <c r="ABV53" s="33"/>
      <c r="ACF53" s="33"/>
      <c r="ACP53" s="33"/>
      <c r="ACZ53" s="33"/>
      <c r="ADJ53" s="33"/>
      <c r="ADT53" s="33"/>
      <c r="AED53" s="33"/>
      <c r="AEN53" s="33"/>
      <c r="AEX53" s="33"/>
      <c r="AFH53" s="33"/>
      <c r="AFR53" s="33"/>
      <c r="AGB53" s="33"/>
      <c r="AGL53" s="33"/>
      <c r="AGV53" s="33"/>
      <c r="AHF53" s="33"/>
      <c r="AHP53" s="33"/>
      <c r="AHZ53" s="33"/>
      <c r="AIJ53" s="33"/>
      <c r="AIT53" s="33"/>
      <c r="AJD53" s="33"/>
      <c r="AJN53" s="33"/>
      <c r="AJX53" s="33"/>
      <c r="AKH53" s="33"/>
      <c r="AKR53" s="33"/>
      <c r="ALB53" s="33"/>
      <c r="ALL53" s="33"/>
      <c r="ALV53" s="33"/>
      <c r="AMF53" s="33"/>
      <c r="AMP53" s="33"/>
      <c r="AMZ53" s="33"/>
      <c r="ANJ53" s="33"/>
      <c r="ANT53" s="33"/>
      <c r="AOD53" s="33"/>
      <c r="AON53" s="33"/>
      <c r="AOX53" s="33"/>
      <c r="APH53" s="33"/>
      <c r="APR53" s="33"/>
      <c r="AQB53" s="33"/>
      <c r="AQL53" s="33"/>
      <c r="AQV53" s="33"/>
      <c r="ARF53" s="33"/>
      <c r="ARP53" s="33"/>
      <c r="ARZ53" s="33"/>
      <c r="ASJ53" s="33"/>
      <c r="AST53" s="33"/>
      <c r="ATD53" s="33"/>
      <c r="ATN53" s="33"/>
      <c r="ATX53" s="33"/>
      <c r="AUH53" s="33"/>
      <c r="AUR53" s="33"/>
      <c r="AVB53" s="33"/>
      <c r="AVL53" s="33"/>
      <c r="AVV53" s="33"/>
      <c r="AWF53" s="33"/>
      <c r="AWP53" s="33"/>
      <c r="AWZ53" s="33"/>
      <c r="AXJ53" s="33"/>
      <c r="AXT53" s="33"/>
      <c r="AYD53" s="33"/>
      <c r="AYN53" s="33"/>
      <c r="AYX53" s="33"/>
      <c r="AZH53" s="33"/>
      <c r="AZR53" s="33"/>
      <c r="BAB53" s="33"/>
      <c r="BAL53" s="33"/>
      <c r="BAV53" s="33"/>
      <c r="BBF53" s="33"/>
      <c r="BBP53" s="33"/>
      <c r="BBZ53" s="33"/>
      <c r="BCJ53" s="33"/>
      <c r="BCT53" s="33"/>
      <c r="BDD53" s="33"/>
      <c r="BDN53" s="33"/>
      <c r="BDX53" s="33"/>
      <c r="BEH53" s="33"/>
      <c r="BER53" s="33"/>
      <c r="BFB53" s="33"/>
      <c r="BFL53" s="33"/>
      <c r="BFV53" s="33"/>
      <c r="BGF53" s="33"/>
      <c r="BGP53" s="33"/>
      <c r="BGZ53" s="33"/>
      <c r="BHJ53" s="33"/>
      <c r="BHT53" s="33"/>
      <c r="BID53" s="33"/>
      <c r="BIN53" s="33"/>
      <c r="BIX53" s="33"/>
      <c r="BJH53" s="33"/>
      <c r="BJR53" s="33"/>
      <c r="BKB53" s="33"/>
      <c r="BKL53" s="33"/>
      <c r="BKV53" s="33"/>
      <c r="BLF53" s="33"/>
      <c r="BLP53" s="33"/>
      <c r="BLZ53" s="33"/>
      <c r="BMJ53" s="33"/>
      <c r="BMT53" s="33"/>
      <c r="BND53" s="33"/>
      <c r="BNN53" s="33"/>
      <c r="BNX53" s="33"/>
      <c r="BOH53" s="33"/>
      <c r="BOR53" s="33"/>
      <c r="BPB53" s="33"/>
      <c r="BPL53" s="33"/>
      <c r="BPV53" s="33"/>
      <c r="BQF53" s="33"/>
      <c r="BQP53" s="33"/>
      <c r="BQZ53" s="33"/>
      <c r="BRJ53" s="33"/>
      <c r="BRT53" s="33"/>
      <c r="BSD53" s="33"/>
      <c r="BSN53" s="33"/>
      <c r="BSX53" s="33"/>
      <c r="BTH53" s="33"/>
      <c r="BTR53" s="33"/>
      <c r="BUB53" s="33"/>
      <c r="BUL53" s="33"/>
      <c r="BUV53" s="33"/>
      <c r="BVF53" s="33"/>
      <c r="BVP53" s="33"/>
      <c r="BVZ53" s="33"/>
      <c r="BWJ53" s="33"/>
      <c r="BWT53" s="33"/>
      <c r="BXD53" s="33"/>
      <c r="BXN53" s="33"/>
      <c r="BXX53" s="33"/>
      <c r="BYH53" s="33"/>
      <c r="BYR53" s="33"/>
      <c r="BZB53" s="33"/>
      <c r="BZL53" s="33"/>
      <c r="BZV53" s="33"/>
      <c r="CAF53" s="33"/>
      <c r="CAP53" s="33"/>
      <c r="CAZ53" s="33"/>
      <c r="CBJ53" s="33"/>
      <c r="CBT53" s="33"/>
      <c r="CCD53" s="33"/>
      <c r="CCN53" s="33"/>
      <c r="CCX53" s="33"/>
      <c r="CDH53" s="33"/>
      <c r="CDR53" s="33"/>
      <c r="CEB53" s="33"/>
      <c r="CEL53" s="33"/>
      <c r="CEV53" s="33"/>
      <c r="CFF53" s="33"/>
      <c r="CFP53" s="33"/>
      <c r="CFZ53" s="33"/>
      <c r="CGJ53" s="33"/>
      <c r="CGT53" s="33"/>
      <c r="CHD53" s="33"/>
      <c r="CHN53" s="33"/>
      <c r="CHX53" s="33"/>
      <c r="CIH53" s="33"/>
      <c r="CIR53" s="33"/>
      <c r="CJB53" s="33"/>
      <c r="CJL53" s="33"/>
      <c r="CJV53" s="33"/>
      <c r="CKF53" s="33"/>
      <c r="CKP53" s="33"/>
      <c r="CKZ53" s="33"/>
      <c r="CLJ53" s="33"/>
      <c r="CLT53" s="33"/>
      <c r="CMD53" s="33"/>
      <c r="CMN53" s="33"/>
      <c r="CMX53" s="33"/>
      <c r="CNH53" s="33"/>
      <c r="CNR53" s="33"/>
      <c r="COB53" s="33"/>
      <c r="COL53" s="33"/>
      <c r="COV53" s="33"/>
      <c r="CPF53" s="33"/>
      <c r="CPP53" s="33"/>
      <c r="CPZ53" s="33"/>
      <c r="CQJ53" s="33"/>
      <c r="CQT53" s="33"/>
      <c r="CRD53" s="33"/>
      <c r="CRN53" s="33"/>
      <c r="CRX53" s="33"/>
      <c r="CSH53" s="33"/>
      <c r="CSR53" s="33"/>
      <c r="CTB53" s="33"/>
      <c r="CTL53" s="33"/>
      <c r="CTV53" s="33"/>
    </row>
    <row r="54" s="16" customFormat="1" customHeight="1" spans="1:1020 1030:2040 2050:2570">
      <c r="A54" s="57"/>
      <c r="B54" s="52"/>
      <c r="C54" s="52"/>
      <c r="D54" s="52"/>
      <c r="E54" s="52"/>
      <c r="F54" s="58" t="str">
        <f>IFERROR(VLOOKUP(E54,日报!E:G,2,0),"")</f>
        <v/>
      </c>
      <c r="G54" s="52"/>
      <c r="H54" s="53" t="str">
        <f>IFERROR(VLOOKUP(E54,基础数据!$E$4:$H$4,4,0),"")</f>
        <v/>
      </c>
      <c r="I54" s="53" t="str">
        <f>IFERROR(VLOOKUP(E54,基础数据!$E$4:$H$4,3,0),"")</f>
        <v/>
      </c>
      <c r="J54" s="52"/>
      <c r="K54" s="54" t="str">
        <f t="shared" si="0"/>
        <v/>
      </c>
      <c r="T54" s="33"/>
      <c r="AD54" s="33"/>
      <c r="AN54" s="33"/>
      <c r="AX54" s="33"/>
      <c r="BH54" s="33"/>
      <c r="BR54" s="33"/>
      <c r="CB54" s="33"/>
      <c r="CL54" s="33"/>
      <c r="CV54" s="33"/>
      <c r="DF54" s="33"/>
      <c r="DP54" s="33"/>
      <c r="DZ54" s="33"/>
      <c r="EJ54" s="33"/>
      <c r="ET54" s="33"/>
      <c r="FD54" s="33"/>
      <c r="FN54" s="33"/>
      <c r="FX54" s="33"/>
      <c r="GH54" s="33"/>
      <c r="GR54" s="33"/>
      <c r="HB54" s="33"/>
      <c r="HL54" s="33"/>
      <c r="HV54" s="33"/>
      <c r="IF54" s="33"/>
      <c r="IP54" s="33"/>
      <c r="IZ54" s="33"/>
      <c r="JJ54" s="33"/>
      <c r="JT54" s="33"/>
      <c r="KD54" s="33"/>
      <c r="KN54" s="33"/>
      <c r="KX54" s="33"/>
      <c r="LH54" s="33"/>
      <c r="LR54" s="33"/>
      <c r="MB54" s="33"/>
      <c r="ML54" s="33"/>
      <c r="MV54" s="33"/>
      <c r="NF54" s="33"/>
      <c r="NP54" s="33"/>
      <c r="NZ54" s="33"/>
      <c r="OJ54" s="33"/>
      <c r="OT54" s="33"/>
      <c r="PD54" s="33"/>
      <c r="PN54" s="33"/>
      <c r="PX54" s="33"/>
      <c r="QH54" s="33"/>
      <c r="QR54" s="33"/>
      <c r="RB54" s="33"/>
      <c r="RL54" s="33"/>
      <c r="RV54" s="33"/>
      <c r="SF54" s="33"/>
      <c r="SP54" s="33"/>
      <c r="SZ54" s="33"/>
      <c r="TJ54" s="33"/>
      <c r="TT54" s="33"/>
      <c r="UD54" s="33"/>
      <c r="UN54" s="33"/>
      <c r="UX54" s="33"/>
      <c r="VH54" s="33"/>
      <c r="VR54" s="33"/>
      <c r="WB54" s="33"/>
      <c r="WL54" s="33"/>
      <c r="WV54" s="33"/>
      <c r="XF54" s="33"/>
      <c r="XP54" s="33"/>
      <c r="XZ54" s="33"/>
      <c r="YJ54" s="33"/>
      <c r="YT54" s="33"/>
      <c r="ZD54" s="33"/>
      <c r="ZN54" s="33"/>
      <c r="ZX54" s="33"/>
      <c r="AAH54" s="33"/>
      <c r="AAR54" s="33"/>
      <c r="ABB54" s="33"/>
      <c r="ABL54" s="33"/>
      <c r="ABV54" s="33"/>
      <c r="ACF54" s="33"/>
      <c r="ACP54" s="33"/>
      <c r="ACZ54" s="33"/>
      <c r="ADJ54" s="33"/>
      <c r="ADT54" s="33"/>
      <c r="AED54" s="33"/>
      <c r="AEN54" s="33"/>
      <c r="AEX54" s="33"/>
      <c r="AFH54" s="33"/>
      <c r="AFR54" s="33"/>
      <c r="AGB54" s="33"/>
      <c r="AGL54" s="33"/>
      <c r="AGV54" s="33"/>
      <c r="AHF54" s="33"/>
      <c r="AHP54" s="33"/>
      <c r="AHZ54" s="33"/>
      <c r="AIJ54" s="33"/>
      <c r="AIT54" s="33"/>
      <c r="AJD54" s="33"/>
      <c r="AJN54" s="33"/>
      <c r="AJX54" s="33"/>
      <c r="AKH54" s="33"/>
      <c r="AKR54" s="33"/>
      <c r="ALB54" s="33"/>
      <c r="ALL54" s="33"/>
      <c r="ALV54" s="33"/>
      <c r="AMF54" s="33"/>
      <c r="AMP54" s="33"/>
      <c r="AMZ54" s="33"/>
      <c r="ANJ54" s="33"/>
      <c r="ANT54" s="33"/>
      <c r="AOD54" s="33"/>
      <c r="AON54" s="33"/>
      <c r="AOX54" s="33"/>
      <c r="APH54" s="33"/>
      <c r="APR54" s="33"/>
      <c r="AQB54" s="33"/>
      <c r="AQL54" s="33"/>
      <c r="AQV54" s="33"/>
      <c r="ARF54" s="33"/>
      <c r="ARP54" s="33"/>
      <c r="ARZ54" s="33"/>
      <c r="ASJ54" s="33"/>
      <c r="AST54" s="33"/>
      <c r="ATD54" s="33"/>
      <c r="ATN54" s="33"/>
      <c r="ATX54" s="33"/>
      <c r="AUH54" s="33"/>
      <c r="AUR54" s="33"/>
      <c r="AVB54" s="33"/>
      <c r="AVL54" s="33"/>
      <c r="AVV54" s="33"/>
      <c r="AWF54" s="33"/>
      <c r="AWP54" s="33"/>
      <c r="AWZ54" s="33"/>
      <c r="AXJ54" s="33"/>
      <c r="AXT54" s="33"/>
      <c r="AYD54" s="33"/>
      <c r="AYN54" s="33"/>
      <c r="AYX54" s="33"/>
      <c r="AZH54" s="33"/>
      <c r="AZR54" s="33"/>
      <c r="BAB54" s="33"/>
      <c r="BAL54" s="33"/>
      <c r="BAV54" s="33"/>
      <c r="BBF54" s="33"/>
      <c r="BBP54" s="33"/>
      <c r="BBZ54" s="33"/>
      <c r="BCJ54" s="33"/>
      <c r="BCT54" s="33"/>
      <c r="BDD54" s="33"/>
      <c r="BDN54" s="33"/>
      <c r="BDX54" s="33"/>
      <c r="BEH54" s="33"/>
      <c r="BER54" s="33"/>
      <c r="BFB54" s="33"/>
      <c r="BFL54" s="33"/>
      <c r="BFV54" s="33"/>
      <c r="BGF54" s="33"/>
      <c r="BGP54" s="33"/>
      <c r="BGZ54" s="33"/>
      <c r="BHJ54" s="33"/>
      <c r="BHT54" s="33"/>
      <c r="BID54" s="33"/>
      <c r="BIN54" s="33"/>
      <c r="BIX54" s="33"/>
      <c r="BJH54" s="33"/>
      <c r="BJR54" s="33"/>
      <c r="BKB54" s="33"/>
      <c r="BKL54" s="33"/>
      <c r="BKV54" s="33"/>
      <c r="BLF54" s="33"/>
      <c r="BLP54" s="33"/>
      <c r="BLZ54" s="33"/>
      <c r="BMJ54" s="33"/>
      <c r="BMT54" s="33"/>
      <c r="BND54" s="33"/>
      <c r="BNN54" s="33"/>
      <c r="BNX54" s="33"/>
      <c r="BOH54" s="33"/>
      <c r="BOR54" s="33"/>
      <c r="BPB54" s="33"/>
      <c r="BPL54" s="33"/>
      <c r="BPV54" s="33"/>
      <c r="BQF54" s="33"/>
      <c r="BQP54" s="33"/>
      <c r="BQZ54" s="33"/>
      <c r="BRJ54" s="33"/>
      <c r="BRT54" s="33"/>
      <c r="BSD54" s="33"/>
      <c r="BSN54" s="33"/>
      <c r="BSX54" s="33"/>
      <c r="BTH54" s="33"/>
      <c r="BTR54" s="33"/>
      <c r="BUB54" s="33"/>
      <c r="BUL54" s="33"/>
      <c r="BUV54" s="33"/>
      <c r="BVF54" s="33"/>
      <c r="BVP54" s="33"/>
      <c r="BVZ54" s="33"/>
      <c r="BWJ54" s="33"/>
      <c r="BWT54" s="33"/>
      <c r="BXD54" s="33"/>
      <c r="BXN54" s="33"/>
      <c r="BXX54" s="33"/>
      <c r="BYH54" s="33"/>
      <c r="BYR54" s="33"/>
      <c r="BZB54" s="33"/>
      <c r="BZL54" s="33"/>
      <c r="BZV54" s="33"/>
      <c r="CAF54" s="33"/>
      <c r="CAP54" s="33"/>
      <c r="CAZ54" s="33"/>
      <c r="CBJ54" s="33"/>
      <c r="CBT54" s="33"/>
      <c r="CCD54" s="33"/>
      <c r="CCN54" s="33"/>
      <c r="CCX54" s="33"/>
      <c r="CDH54" s="33"/>
      <c r="CDR54" s="33"/>
      <c r="CEB54" s="33"/>
      <c r="CEL54" s="33"/>
      <c r="CEV54" s="33"/>
      <c r="CFF54" s="33"/>
      <c r="CFP54" s="33"/>
      <c r="CFZ54" s="33"/>
      <c r="CGJ54" s="33"/>
      <c r="CGT54" s="33"/>
      <c r="CHD54" s="33"/>
      <c r="CHN54" s="33"/>
      <c r="CHX54" s="33"/>
      <c r="CIH54" s="33"/>
      <c r="CIR54" s="33"/>
      <c r="CJB54" s="33"/>
      <c r="CJL54" s="33"/>
      <c r="CJV54" s="33"/>
      <c r="CKF54" s="33"/>
      <c r="CKP54" s="33"/>
      <c r="CKZ54" s="33"/>
      <c r="CLJ54" s="33"/>
      <c r="CLT54" s="33"/>
      <c r="CMD54" s="33"/>
      <c r="CMN54" s="33"/>
      <c r="CMX54" s="33"/>
      <c r="CNH54" s="33"/>
      <c r="CNR54" s="33"/>
      <c r="COB54" s="33"/>
      <c r="COL54" s="33"/>
      <c r="COV54" s="33"/>
      <c r="CPF54" s="33"/>
      <c r="CPP54" s="33"/>
      <c r="CPZ54" s="33"/>
      <c r="CQJ54" s="33"/>
      <c r="CQT54" s="33"/>
      <c r="CRD54" s="33"/>
      <c r="CRN54" s="33"/>
      <c r="CRX54" s="33"/>
      <c r="CSH54" s="33"/>
      <c r="CSR54" s="33"/>
      <c r="CTB54" s="33"/>
      <c r="CTL54" s="33"/>
      <c r="CTV54" s="33"/>
    </row>
    <row r="55" s="16" customFormat="1" customHeight="1" spans="1:1020 1030:2040 2050:2570">
      <c r="A55" s="57"/>
      <c r="B55" s="52"/>
      <c r="C55" s="52"/>
      <c r="D55" s="52"/>
      <c r="E55" s="52"/>
      <c r="F55" s="58" t="str">
        <f>IFERROR(VLOOKUP(E55,日报!E:G,2,0),"")</f>
        <v/>
      </c>
      <c r="G55" s="52"/>
      <c r="H55" s="53" t="str">
        <f>IFERROR(VLOOKUP(E55,基础数据!$E$4:$H$4,4,0),"")</f>
        <v/>
      </c>
      <c r="I55" s="53" t="str">
        <f>IFERROR(VLOOKUP(E55,基础数据!$E$4:$H$4,3,0),"")</f>
        <v/>
      </c>
      <c r="J55" s="52"/>
      <c r="K55" s="54" t="str">
        <f t="shared" si="0"/>
        <v/>
      </c>
      <c r="T55" s="33"/>
      <c r="AD55" s="33"/>
      <c r="AN55" s="33"/>
      <c r="AX55" s="33"/>
      <c r="BH55" s="33"/>
      <c r="BR55" s="33"/>
      <c r="CB55" s="33"/>
      <c r="CL55" s="33"/>
      <c r="CV55" s="33"/>
      <c r="DF55" s="33"/>
      <c r="DP55" s="33"/>
      <c r="DZ55" s="33"/>
      <c r="EJ55" s="33"/>
      <c r="ET55" s="33"/>
      <c r="FD55" s="33"/>
      <c r="FN55" s="33"/>
      <c r="FX55" s="33"/>
      <c r="GH55" s="33"/>
      <c r="GR55" s="33"/>
      <c r="HB55" s="33"/>
      <c r="HL55" s="33"/>
      <c r="HV55" s="33"/>
      <c r="IF55" s="33"/>
      <c r="IP55" s="33"/>
      <c r="IZ55" s="33"/>
      <c r="JJ55" s="33"/>
      <c r="JT55" s="33"/>
      <c r="KD55" s="33"/>
      <c r="KN55" s="33"/>
      <c r="KX55" s="33"/>
      <c r="LH55" s="33"/>
      <c r="LR55" s="33"/>
      <c r="MB55" s="33"/>
      <c r="ML55" s="33"/>
      <c r="MV55" s="33"/>
      <c r="NF55" s="33"/>
      <c r="NP55" s="33"/>
      <c r="NZ55" s="33"/>
      <c r="OJ55" s="33"/>
      <c r="OT55" s="33"/>
      <c r="PD55" s="33"/>
      <c r="PN55" s="33"/>
      <c r="PX55" s="33"/>
      <c r="QH55" s="33"/>
      <c r="QR55" s="33"/>
      <c r="RB55" s="33"/>
      <c r="RL55" s="33"/>
      <c r="RV55" s="33"/>
      <c r="SF55" s="33"/>
      <c r="SP55" s="33"/>
      <c r="SZ55" s="33"/>
      <c r="TJ55" s="33"/>
      <c r="TT55" s="33"/>
      <c r="UD55" s="33"/>
      <c r="UN55" s="33"/>
      <c r="UX55" s="33"/>
      <c r="VH55" s="33"/>
      <c r="VR55" s="33"/>
      <c r="WB55" s="33"/>
      <c r="WL55" s="33"/>
      <c r="WV55" s="33"/>
      <c r="XF55" s="33"/>
      <c r="XP55" s="33"/>
      <c r="XZ55" s="33"/>
      <c r="YJ55" s="33"/>
      <c r="YT55" s="33"/>
      <c r="ZD55" s="33"/>
      <c r="ZN55" s="33"/>
      <c r="ZX55" s="33"/>
      <c r="AAH55" s="33"/>
      <c r="AAR55" s="33"/>
      <c r="ABB55" s="33"/>
      <c r="ABL55" s="33"/>
      <c r="ABV55" s="33"/>
      <c r="ACF55" s="33"/>
      <c r="ACP55" s="33"/>
      <c r="ACZ55" s="33"/>
      <c r="ADJ55" s="33"/>
      <c r="ADT55" s="33"/>
      <c r="AED55" s="33"/>
      <c r="AEN55" s="33"/>
      <c r="AEX55" s="33"/>
      <c r="AFH55" s="33"/>
      <c r="AFR55" s="33"/>
      <c r="AGB55" s="33"/>
      <c r="AGL55" s="33"/>
      <c r="AGV55" s="33"/>
      <c r="AHF55" s="33"/>
      <c r="AHP55" s="33"/>
      <c r="AHZ55" s="33"/>
      <c r="AIJ55" s="33"/>
      <c r="AIT55" s="33"/>
      <c r="AJD55" s="33"/>
      <c r="AJN55" s="33"/>
      <c r="AJX55" s="33"/>
      <c r="AKH55" s="33"/>
      <c r="AKR55" s="33"/>
      <c r="ALB55" s="33"/>
      <c r="ALL55" s="33"/>
      <c r="ALV55" s="33"/>
      <c r="AMF55" s="33"/>
      <c r="AMP55" s="33"/>
      <c r="AMZ55" s="33"/>
      <c r="ANJ55" s="33"/>
      <c r="ANT55" s="33"/>
      <c r="AOD55" s="33"/>
      <c r="AON55" s="33"/>
      <c r="AOX55" s="33"/>
      <c r="APH55" s="33"/>
      <c r="APR55" s="33"/>
      <c r="AQB55" s="33"/>
      <c r="AQL55" s="33"/>
      <c r="AQV55" s="33"/>
      <c r="ARF55" s="33"/>
      <c r="ARP55" s="33"/>
      <c r="ARZ55" s="33"/>
      <c r="ASJ55" s="33"/>
      <c r="AST55" s="33"/>
      <c r="ATD55" s="33"/>
      <c r="ATN55" s="33"/>
      <c r="ATX55" s="33"/>
      <c r="AUH55" s="33"/>
      <c r="AUR55" s="33"/>
      <c r="AVB55" s="33"/>
      <c r="AVL55" s="33"/>
      <c r="AVV55" s="33"/>
      <c r="AWF55" s="33"/>
      <c r="AWP55" s="33"/>
      <c r="AWZ55" s="33"/>
      <c r="AXJ55" s="33"/>
      <c r="AXT55" s="33"/>
      <c r="AYD55" s="33"/>
      <c r="AYN55" s="33"/>
      <c r="AYX55" s="33"/>
      <c r="AZH55" s="33"/>
      <c r="AZR55" s="33"/>
      <c r="BAB55" s="33"/>
      <c r="BAL55" s="33"/>
      <c r="BAV55" s="33"/>
      <c r="BBF55" s="33"/>
      <c r="BBP55" s="33"/>
      <c r="BBZ55" s="33"/>
      <c r="BCJ55" s="33"/>
      <c r="BCT55" s="33"/>
      <c r="BDD55" s="33"/>
      <c r="BDN55" s="33"/>
      <c r="BDX55" s="33"/>
      <c r="BEH55" s="33"/>
      <c r="BER55" s="33"/>
      <c r="BFB55" s="33"/>
      <c r="BFL55" s="33"/>
      <c r="BFV55" s="33"/>
      <c r="BGF55" s="33"/>
      <c r="BGP55" s="33"/>
      <c r="BGZ55" s="33"/>
      <c r="BHJ55" s="33"/>
      <c r="BHT55" s="33"/>
      <c r="BID55" s="33"/>
      <c r="BIN55" s="33"/>
      <c r="BIX55" s="33"/>
      <c r="BJH55" s="33"/>
      <c r="BJR55" s="33"/>
      <c r="BKB55" s="33"/>
      <c r="BKL55" s="33"/>
      <c r="BKV55" s="33"/>
      <c r="BLF55" s="33"/>
      <c r="BLP55" s="33"/>
      <c r="BLZ55" s="33"/>
      <c r="BMJ55" s="33"/>
      <c r="BMT55" s="33"/>
      <c r="BND55" s="33"/>
      <c r="BNN55" s="33"/>
      <c r="BNX55" s="33"/>
      <c r="BOH55" s="33"/>
      <c r="BOR55" s="33"/>
      <c r="BPB55" s="33"/>
      <c r="BPL55" s="33"/>
      <c r="BPV55" s="33"/>
      <c r="BQF55" s="33"/>
      <c r="BQP55" s="33"/>
      <c r="BQZ55" s="33"/>
      <c r="BRJ55" s="33"/>
      <c r="BRT55" s="33"/>
      <c r="BSD55" s="33"/>
      <c r="BSN55" s="33"/>
      <c r="BSX55" s="33"/>
      <c r="BTH55" s="33"/>
      <c r="BTR55" s="33"/>
      <c r="BUB55" s="33"/>
      <c r="BUL55" s="33"/>
      <c r="BUV55" s="33"/>
      <c r="BVF55" s="33"/>
      <c r="BVP55" s="33"/>
      <c r="BVZ55" s="33"/>
      <c r="BWJ55" s="33"/>
      <c r="BWT55" s="33"/>
      <c r="BXD55" s="33"/>
      <c r="BXN55" s="33"/>
      <c r="BXX55" s="33"/>
      <c r="BYH55" s="33"/>
      <c r="BYR55" s="33"/>
      <c r="BZB55" s="33"/>
      <c r="BZL55" s="33"/>
      <c r="BZV55" s="33"/>
      <c r="CAF55" s="33"/>
      <c r="CAP55" s="33"/>
      <c r="CAZ55" s="33"/>
      <c r="CBJ55" s="33"/>
      <c r="CBT55" s="33"/>
      <c r="CCD55" s="33"/>
      <c r="CCN55" s="33"/>
      <c r="CCX55" s="33"/>
      <c r="CDH55" s="33"/>
      <c r="CDR55" s="33"/>
      <c r="CEB55" s="33"/>
      <c r="CEL55" s="33"/>
      <c r="CEV55" s="33"/>
      <c r="CFF55" s="33"/>
      <c r="CFP55" s="33"/>
      <c r="CFZ55" s="33"/>
      <c r="CGJ55" s="33"/>
      <c r="CGT55" s="33"/>
      <c r="CHD55" s="33"/>
      <c r="CHN55" s="33"/>
      <c r="CHX55" s="33"/>
      <c r="CIH55" s="33"/>
      <c r="CIR55" s="33"/>
      <c r="CJB55" s="33"/>
      <c r="CJL55" s="33"/>
      <c r="CJV55" s="33"/>
      <c r="CKF55" s="33"/>
      <c r="CKP55" s="33"/>
      <c r="CKZ55" s="33"/>
      <c r="CLJ55" s="33"/>
      <c r="CLT55" s="33"/>
      <c r="CMD55" s="33"/>
      <c r="CMN55" s="33"/>
      <c r="CMX55" s="33"/>
      <c r="CNH55" s="33"/>
      <c r="CNR55" s="33"/>
      <c r="COB55" s="33"/>
      <c r="COL55" s="33"/>
      <c r="COV55" s="33"/>
      <c r="CPF55" s="33"/>
      <c r="CPP55" s="33"/>
      <c r="CPZ55" s="33"/>
      <c r="CQJ55" s="33"/>
      <c r="CQT55" s="33"/>
      <c r="CRD55" s="33"/>
      <c r="CRN55" s="33"/>
      <c r="CRX55" s="33"/>
      <c r="CSH55" s="33"/>
      <c r="CSR55" s="33"/>
      <c r="CTB55" s="33"/>
      <c r="CTL55" s="33"/>
      <c r="CTV55" s="33"/>
    </row>
    <row r="56" s="16" customFormat="1" customHeight="1" spans="1:1020 1030:2040 2050:2570">
      <c r="A56" s="57"/>
      <c r="B56" s="52"/>
      <c r="C56" s="52"/>
      <c r="D56" s="52"/>
      <c r="E56" s="52"/>
      <c r="F56" s="58" t="str">
        <f>IFERROR(VLOOKUP(E56,日报!E:G,2,0),"")</f>
        <v/>
      </c>
      <c r="G56" s="52"/>
      <c r="H56" s="53" t="str">
        <f>IFERROR(VLOOKUP(E56,基础数据!$E$4:$H$4,4,0),"")</f>
        <v/>
      </c>
      <c r="I56" s="53" t="str">
        <f>IFERROR(VLOOKUP(E56,基础数据!$E$4:$H$4,3,0),"")</f>
        <v/>
      </c>
      <c r="J56" s="52"/>
      <c r="K56" s="54" t="str">
        <f t="shared" ref="K56:K119" si="1">IFERROR(G56/I56,"")</f>
        <v/>
      </c>
      <c r="T56" s="33"/>
      <c r="AD56" s="33"/>
      <c r="AN56" s="33"/>
      <c r="AX56" s="33"/>
      <c r="BH56" s="33"/>
      <c r="BR56" s="33"/>
      <c r="CB56" s="33"/>
      <c r="CL56" s="33"/>
      <c r="CV56" s="33"/>
      <c r="DF56" s="33"/>
      <c r="DP56" s="33"/>
      <c r="DZ56" s="33"/>
      <c r="EJ56" s="33"/>
      <c r="ET56" s="33"/>
      <c r="FD56" s="33"/>
      <c r="FN56" s="33"/>
      <c r="FX56" s="33"/>
      <c r="GH56" s="33"/>
      <c r="GR56" s="33"/>
      <c r="HB56" s="33"/>
      <c r="HL56" s="33"/>
      <c r="HV56" s="33"/>
      <c r="IF56" s="33"/>
      <c r="IP56" s="33"/>
      <c r="IZ56" s="33"/>
      <c r="JJ56" s="33"/>
      <c r="JT56" s="33"/>
      <c r="KD56" s="33"/>
      <c r="KN56" s="33"/>
      <c r="KX56" s="33"/>
      <c r="LH56" s="33"/>
      <c r="LR56" s="33"/>
      <c r="MB56" s="33"/>
      <c r="ML56" s="33"/>
      <c r="MV56" s="33"/>
      <c r="NF56" s="33"/>
      <c r="NP56" s="33"/>
      <c r="NZ56" s="33"/>
      <c r="OJ56" s="33"/>
      <c r="OT56" s="33"/>
      <c r="PD56" s="33"/>
      <c r="PN56" s="33"/>
      <c r="PX56" s="33"/>
      <c r="QH56" s="33"/>
      <c r="QR56" s="33"/>
      <c r="RB56" s="33"/>
      <c r="RL56" s="33"/>
      <c r="RV56" s="33"/>
      <c r="SF56" s="33"/>
      <c r="SP56" s="33"/>
      <c r="SZ56" s="33"/>
      <c r="TJ56" s="33"/>
      <c r="TT56" s="33"/>
      <c r="UD56" s="33"/>
      <c r="UN56" s="33"/>
      <c r="UX56" s="33"/>
      <c r="VH56" s="33"/>
      <c r="VR56" s="33"/>
      <c r="WB56" s="33"/>
      <c r="WL56" s="33"/>
      <c r="WV56" s="33"/>
      <c r="XF56" s="33"/>
      <c r="XP56" s="33"/>
      <c r="XZ56" s="33"/>
      <c r="YJ56" s="33"/>
      <c r="YT56" s="33"/>
      <c r="ZD56" s="33"/>
      <c r="ZN56" s="33"/>
      <c r="ZX56" s="33"/>
      <c r="AAH56" s="33"/>
      <c r="AAR56" s="33"/>
      <c r="ABB56" s="33"/>
      <c r="ABL56" s="33"/>
      <c r="ABV56" s="33"/>
      <c r="ACF56" s="33"/>
      <c r="ACP56" s="33"/>
      <c r="ACZ56" s="33"/>
      <c r="ADJ56" s="33"/>
      <c r="ADT56" s="33"/>
      <c r="AED56" s="33"/>
      <c r="AEN56" s="33"/>
      <c r="AEX56" s="33"/>
      <c r="AFH56" s="33"/>
      <c r="AFR56" s="33"/>
      <c r="AGB56" s="33"/>
      <c r="AGL56" s="33"/>
      <c r="AGV56" s="33"/>
      <c r="AHF56" s="33"/>
      <c r="AHP56" s="33"/>
      <c r="AHZ56" s="33"/>
      <c r="AIJ56" s="33"/>
      <c r="AIT56" s="33"/>
      <c r="AJD56" s="33"/>
      <c r="AJN56" s="33"/>
      <c r="AJX56" s="33"/>
      <c r="AKH56" s="33"/>
      <c r="AKR56" s="33"/>
      <c r="ALB56" s="33"/>
      <c r="ALL56" s="33"/>
      <c r="ALV56" s="33"/>
      <c r="AMF56" s="33"/>
      <c r="AMP56" s="33"/>
      <c r="AMZ56" s="33"/>
      <c r="ANJ56" s="33"/>
      <c r="ANT56" s="33"/>
      <c r="AOD56" s="33"/>
      <c r="AON56" s="33"/>
      <c r="AOX56" s="33"/>
      <c r="APH56" s="33"/>
      <c r="APR56" s="33"/>
      <c r="AQB56" s="33"/>
      <c r="AQL56" s="33"/>
      <c r="AQV56" s="33"/>
      <c r="ARF56" s="33"/>
      <c r="ARP56" s="33"/>
      <c r="ARZ56" s="33"/>
      <c r="ASJ56" s="33"/>
      <c r="AST56" s="33"/>
      <c r="ATD56" s="33"/>
      <c r="ATN56" s="33"/>
      <c r="ATX56" s="33"/>
      <c r="AUH56" s="33"/>
      <c r="AUR56" s="33"/>
      <c r="AVB56" s="33"/>
      <c r="AVL56" s="33"/>
      <c r="AVV56" s="33"/>
      <c r="AWF56" s="33"/>
      <c r="AWP56" s="33"/>
      <c r="AWZ56" s="33"/>
      <c r="AXJ56" s="33"/>
      <c r="AXT56" s="33"/>
      <c r="AYD56" s="33"/>
      <c r="AYN56" s="33"/>
      <c r="AYX56" s="33"/>
      <c r="AZH56" s="33"/>
      <c r="AZR56" s="33"/>
      <c r="BAB56" s="33"/>
      <c r="BAL56" s="33"/>
      <c r="BAV56" s="33"/>
      <c r="BBF56" s="33"/>
      <c r="BBP56" s="33"/>
      <c r="BBZ56" s="33"/>
      <c r="BCJ56" s="33"/>
      <c r="BCT56" s="33"/>
      <c r="BDD56" s="33"/>
      <c r="BDN56" s="33"/>
      <c r="BDX56" s="33"/>
      <c r="BEH56" s="33"/>
      <c r="BER56" s="33"/>
      <c r="BFB56" s="33"/>
      <c r="BFL56" s="33"/>
      <c r="BFV56" s="33"/>
      <c r="BGF56" s="33"/>
      <c r="BGP56" s="33"/>
      <c r="BGZ56" s="33"/>
      <c r="BHJ56" s="33"/>
      <c r="BHT56" s="33"/>
      <c r="BID56" s="33"/>
      <c r="BIN56" s="33"/>
      <c r="BIX56" s="33"/>
      <c r="BJH56" s="33"/>
      <c r="BJR56" s="33"/>
      <c r="BKB56" s="33"/>
      <c r="BKL56" s="33"/>
      <c r="BKV56" s="33"/>
      <c r="BLF56" s="33"/>
      <c r="BLP56" s="33"/>
      <c r="BLZ56" s="33"/>
      <c r="BMJ56" s="33"/>
      <c r="BMT56" s="33"/>
      <c r="BND56" s="33"/>
      <c r="BNN56" s="33"/>
      <c r="BNX56" s="33"/>
      <c r="BOH56" s="33"/>
      <c r="BOR56" s="33"/>
      <c r="BPB56" s="33"/>
      <c r="BPL56" s="33"/>
      <c r="BPV56" s="33"/>
      <c r="BQF56" s="33"/>
      <c r="BQP56" s="33"/>
      <c r="BQZ56" s="33"/>
      <c r="BRJ56" s="33"/>
      <c r="BRT56" s="33"/>
      <c r="BSD56" s="33"/>
      <c r="BSN56" s="33"/>
      <c r="BSX56" s="33"/>
      <c r="BTH56" s="33"/>
      <c r="BTR56" s="33"/>
      <c r="BUB56" s="33"/>
      <c r="BUL56" s="33"/>
      <c r="BUV56" s="33"/>
      <c r="BVF56" s="33"/>
      <c r="BVP56" s="33"/>
      <c r="BVZ56" s="33"/>
      <c r="BWJ56" s="33"/>
      <c r="BWT56" s="33"/>
      <c r="BXD56" s="33"/>
      <c r="BXN56" s="33"/>
      <c r="BXX56" s="33"/>
      <c r="BYH56" s="33"/>
      <c r="BYR56" s="33"/>
      <c r="BZB56" s="33"/>
      <c r="BZL56" s="33"/>
      <c r="BZV56" s="33"/>
      <c r="CAF56" s="33"/>
      <c r="CAP56" s="33"/>
      <c r="CAZ56" s="33"/>
      <c r="CBJ56" s="33"/>
      <c r="CBT56" s="33"/>
      <c r="CCD56" s="33"/>
      <c r="CCN56" s="33"/>
      <c r="CCX56" s="33"/>
      <c r="CDH56" s="33"/>
      <c r="CDR56" s="33"/>
      <c r="CEB56" s="33"/>
      <c r="CEL56" s="33"/>
      <c r="CEV56" s="33"/>
      <c r="CFF56" s="33"/>
      <c r="CFP56" s="33"/>
      <c r="CFZ56" s="33"/>
      <c r="CGJ56" s="33"/>
      <c r="CGT56" s="33"/>
      <c r="CHD56" s="33"/>
      <c r="CHN56" s="33"/>
      <c r="CHX56" s="33"/>
      <c r="CIH56" s="33"/>
      <c r="CIR56" s="33"/>
      <c r="CJB56" s="33"/>
      <c r="CJL56" s="33"/>
      <c r="CJV56" s="33"/>
      <c r="CKF56" s="33"/>
      <c r="CKP56" s="33"/>
      <c r="CKZ56" s="33"/>
      <c r="CLJ56" s="33"/>
      <c r="CLT56" s="33"/>
      <c r="CMD56" s="33"/>
      <c r="CMN56" s="33"/>
      <c r="CMX56" s="33"/>
      <c r="CNH56" s="33"/>
      <c r="CNR56" s="33"/>
      <c r="COB56" s="33"/>
      <c r="COL56" s="33"/>
      <c r="COV56" s="33"/>
      <c r="CPF56" s="33"/>
      <c r="CPP56" s="33"/>
      <c r="CPZ56" s="33"/>
      <c r="CQJ56" s="33"/>
      <c r="CQT56" s="33"/>
      <c r="CRD56" s="33"/>
      <c r="CRN56" s="33"/>
      <c r="CRX56" s="33"/>
      <c r="CSH56" s="33"/>
      <c r="CSR56" s="33"/>
      <c r="CTB56" s="33"/>
      <c r="CTL56" s="33"/>
      <c r="CTV56" s="33"/>
    </row>
    <row r="57" s="16" customFormat="1" customHeight="1" spans="1:1020 1030:2040 2050:2570">
      <c r="A57" s="57"/>
      <c r="B57" s="52"/>
      <c r="C57" s="52"/>
      <c r="D57" s="52"/>
      <c r="E57" s="52"/>
      <c r="F57" s="58" t="str">
        <f>IFERROR(VLOOKUP(E57,日报!E:G,2,0),"")</f>
        <v/>
      </c>
      <c r="G57" s="52"/>
      <c r="H57" s="53" t="str">
        <f>IFERROR(VLOOKUP(E57,基础数据!$E$4:$H$4,4,0),"")</f>
        <v/>
      </c>
      <c r="I57" s="53" t="str">
        <f>IFERROR(VLOOKUP(E57,基础数据!$E$4:$H$4,3,0),"")</f>
        <v/>
      </c>
      <c r="J57" s="52"/>
      <c r="K57" s="54" t="str">
        <f t="shared" si="1"/>
        <v/>
      </c>
      <c r="T57" s="33"/>
      <c r="AD57" s="33"/>
      <c r="AN57" s="33"/>
      <c r="AX57" s="33"/>
      <c r="BH57" s="33"/>
      <c r="BR57" s="33"/>
      <c r="CB57" s="33"/>
      <c r="CL57" s="33"/>
      <c r="CV57" s="33"/>
      <c r="DF57" s="33"/>
      <c r="DP57" s="33"/>
      <c r="DZ57" s="33"/>
      <c r="EJ57" s="33"/>
      <c r="ET57" s="33"/>
      <c r="FD57" s="33"/>
      <c r="FN57" s="33"/>
      <c r="FX57" s="33"/>
      <c r="GH57" s="33"/>
      <c r="GR57" s="33"/>
      <c r="HB57" s="33"/>
      <c r="HL57" s="33"/>
      <c r="HV57" s="33"/>
      <c r="IF57" s="33"/>
      <c r="IP57" s="33"/>
      <c r="IZ57" s="33"/>
      <c r="JJ57" s="33"/>
      <c r="JT57" s="33"/>
      <c r="KD57" s="33"/>
      <c r="KN57" s="33"/>
      <c r="KX57" s="33"/>
      <c r="LH57" s="33"/>
      <c r="LR57" s="33"/>
      <c r="MB57" s="33"/>
      <c r="ML57" s="33"/>
      <c r="MV57" s="33"/>
      <c r="NF57" s="33"/>
      <c r="NP57" s="33"/>
      <c r="NZ57" s="33"/>
      <c r="OJ57" s="33"/>
      <c r="OT57" s="33"/>
      <c r="PD57" s="33"/>
      <c r="PN57" s="33"/>
      <c r="PX57" s="33"/>
      <c r="QH57" s="33"/>
      <c r="QR57" s="33"/>
      <c r="RB57" s="33"/>
      <c r="RL57" s="33"/>
      <c r="RV57" s="33"/>
      <c r="SF57" s="33"/>
      <c r="SP57" s="33"/>
      <c r="SZ57" s="33"/>
      <c r="TJ57" s="33"/>
      <c r="TT57" s="33"/>
      <c r="UD57" s="33"/>
      <c r="UN57" s="33"/>
      <c r="UX57" s="33"/>
      <c r="VH57" s="33"/>
      <c r="VR57" s="33"/>
      <c r="WB57" s="33"/>
      <c r="WL57" s="33"/>
      <c r="WV57" s="33"/>
      <c r="XF57" s="33"/>
      <c r="XP57" s="33"/>
      <c r="XZ57" s="33"/>
      <c r="YJ57" s="33"/>
      <c r="YT57" s="33"/>
      <c r="ZD57" s="33"/>
      <c r="ZN57" s="33"/>
      <c r="ZX57" s="33"/>
      <c r="AAH57" s="33"/>
      <c r="AAR57" s="33"/>
      <c r="ABB57" s="33"/>
      <c r="ABL57" s="33"/>
      <c r="ABV57" s="33"/>
      <c r="ACF57" s="33"/>
      <c r="ACP57" s="33"/>
      <c r="ACZ57" s="33"/>
      <c r="ADJ57" s="33"/>
      <c r="ADT57" s="33"/>
      <c r="AED57" s="33"/>
      <c r="AEN57" s="33"/>
      <c r="AEX57" s="33"/>
      <c r="AFH57" s="33"/>
      <c r="AFR57" s="33"/>
      <c r="AGB57" s="33"/>
      <c r="AGL57" s="33"/>
      <c r="AGV57" s="33"/>
      <c r="AHF57" s="33"/>
      <c r="AHP57" s="33"/>
      <c r="AHZ57" s="33"/>
      <c r="AIJ57" s="33"/>
      <c r="AIT57" s="33"/>
      <c r="AJD57" s="33"/>
      <c r="AJN57" s="33"/>
      <c r="AJX57" s="33"/>
      <c r="AKH57" s="33"/>
      <c r="AKR57" s="33"/>
      <c r="ALB57" s="33"/>
      <c r="ALL57" s="33"/>
      <c r="ALV57" s="33"/>
      <c r="AMF57" s="33"/>
      <c r="AMP57" s="33"/>
      <c r="AMZ57" s="33"/>
      <c r="ANJ57" s="33"/>
      <c r="ANT57" s="33"/>
      <c r="AOD57" s="33"/>
      <c r="AON57" s="33"/>
      <c r="AOX57" s="33"/>
      <c r="APH57" s="33"/>
      <c r="APR57" s="33"/>
      <c r="AQB57" s="33"/>
      <c r="AQL57" s="33"/>
      <c r="AQV57" s="33"/>
      <c r="ARF57" s="33"/>
      <c r="ARP57" s="33"/>
      <c r="ARZ57" s="33"/>
      <c r="ASJ57" s="33"/>
      <c r="AST57" s="33"/>
      <c r="ATD57" s="33"/>
      <c r="ATN57" s="33"/>
      <c r="ATX57" s="33"/>
      <c r="AUH57" s="33"/>
      <c r="AUR57" s="33"/>
      <c r="AVB57" s="33"/>
      <c r="AVL57" s="33"/>
      <c r="AVV57" s="33"/>
      <c r="AWF57" s="33"/>
      <c r="AWP57" s="33"/>
      <c r="AWZ57" s="33"/>
      <c r="AXJ57" s="33"/>
      <c r="AXT57" s="33"/>
      <c r="AYD57" s="33"/>
      <c r="AYN57" s="33"/>
      <c r="AYX57" s="33"/>
      <c r="AZH57" s="33"/>
      <c r="AZR57" s="33"/>
      <c r="BAB57" s="33"/>
      <c r="BAL57" s="33"/>
      <c r="BAV57" s="33"/>
      <c r="BBF57" s="33"/>
      <c r="BBP57" s="33"/>
      <c r="BBZ57" s="33"/>
      <c r="BCJ57" s="33"/>
      <c r="BCT57" s="33"/>
      <c r="BDD57" s="33"/>
      <c r="BDN57" s="33"/>
      <c r="BDX57" s="33"/>
      <c r="BEH57" s="33"/>
      <c r="BER57" s="33"/>
      <c r="BFB57" s="33"/>
      <c r="BFL57" s="33"/>
      <c r="BFV57" s="33"/>
      <c r="BGF57" s="33"/>
      <c r="BGP57" s="33"/>
      <c r="BGZ57" s="33"/>
      <c r="BHJ57" s="33"/>
      <c r="BHT57" s="33"/>
      <c r="BID57" s="33"/>
      <c r="BIN57" s="33"/>
      <c r="BIX57" s="33"/>
      <c r="BJH57" s="33"/>
      <c r="BJR57" s="33"/>
      <c r="BKB57" s="33"/>
      <c r="BKL57" s="33"/>
      <c r="BKV57" s="33"/>
      <c r="BLF57" s="33"/>
      <c r="BLP57" s="33"/>
      <c r="BLZ57" s="33"/>
      <c r="BMJ57" s="33"/>
      <c r="BMT57" s="33"/>
      <c r="BND57" s="33"/>
      <c r="BNN57" s="33"/>
      <c r="BNX57" s="33"/>
      <c r="BOH57" s="33"/>
      <c r="BOR57" s="33"/>
      <c r="BPB57" s="33"/>
      <c r="BPL57" s="33"/>
      <c r="BPV57" s="33"/>
      <c r="BQF57" s="33"/>
      <c r="BQP57" s="33"/>
      <c r="BQZ57" s="33"/>
      <c r="BRJ57" s="33"/>
      <c r="BRT57" s="33"/>
      <c r="BSD57" s="33"/>
      <c r="BSN57" s="33"/>
      <c r="BSX57" s="33"/>
      <c r="BTH57" s="33"/>
      <c r="BTR57" s="33"/>
      <c r="BUB57" s="33"/>
      <c r="BUL57" s="33"/>
      <c r="BUV57" s="33"/>
      <c r="BVF57" s="33"/>
      <c r="BVP57" s="33"/>
      <c r="BVZ57" s="33"/>
      <c r="BWJ57" s="33"/>
      <c r="BWT57" s="33"/>
      <c r="BXD57" s="33"/>
      <c r="BXN57" s="33"/>
      <c r="BXX57" s="33"/>
      <c r="BYH57" s="33"/>
      <c r="BYR57" s="33"/>
      <c r="BZB57" s="33"/>
      <c r="BZL57" s="33"/>
      <c r="BZV57" s="33"/>
      <c r="CAF57" s="33"/>
      <c r="CAP57" s="33"/>
      <c r="CAZ57" s="33"/>
      <c r="CBJ57" s="33"/>
      <c r="CBT57" s="33"/>
      <c r="CCD57" s="33"/>
      <c r="CCN57" s="33"/>
      <c r="CCX57" s="33"/>
      <c r="CDH57" s="33"/>
      <c r="CDR57" s="33"/>
      <c r="CEB57" s="33"/>
      <c r="CEL57" s="33"/>
      <c r="CEV57" s="33"/>
      <c r="CFF57" s="33"/>
      <c r="CFP57" s="33"/>
      <c r="CFZ57" s="33"/>
      <c r="CGJ57" s="33"/>
      <c r="CGT57" s="33"/>
      <c r="CHD57" s="33"/>
      <c r="CHN57" s="33"/>
      <c r="CHX57" s="33"/>
      <c r="CIH57" s="33"/>
      <c r="CIR57" s="33"/>
      <c r="CJB57" s="33"/>
      <c r="CJL57" s="33"/>
      <c r="CJV57" s="33"/>
      <c r="CKF57" s="33"/>
      <c r="CKP57" s="33"/>
      <c r="CKZ57" s="33"/>
      <c r="CLJ57" s="33"/>
      <c r="CLT57" s="33"/>
      <c r="CMD57" s="33"/>
      <c r="CMN57" s="33"/>
      <c r="CMX57" s="33"/>
      <c r="CNH57" s="33"/>
      <c r="CNR57" s="33"/>
      <c r="COB57" s="33"/>
      <c r="COL57" s="33"/>
      <c r="COV57" s="33"/>
      <c r="CPF57" s="33"/>
      <c r="CPP57" s="33"/>
      <c r="CPZ57" s="33"/>
      <c r="CQJ57" s="33"/>
      <c r="CQT57" s="33"/>
      <c r="CRD57" s="33"/>
      <c r="CRN57" s="33"/>
      <c r="CRX57" s="33"/>
      <c r="CSH57" s="33"/>
      <c r="CSR57" s="33"/>
      <c r="CTB57" s="33"/>
      <c r="CTL57" s="33"/>
      <c r="CTV57" s="33"/>
    </row>
    <row r="58" s="16" customFormat="1" customHeight="1" spans="1:1020 1030:2040 2050:2570">
      <c r="A58" s="57"/>
      <c r="B58" s="52"/>
      <c r="C58" s="52"/>
      <c r="D58" s="52"/>
      <c r="E58" s="52"/>
      <c r="F58" s="58" t="str">
        <f>IFERROR(VLOOKUP(E58,日报!E:G,2,0),"")</f>
        <v/>
      </c>
      <c r="G58" s="52"/>
      <c r="H58" s="53" t="str">
        <f>IFERROR(VLOOKUP(E58,基础数据!$E$4:$H$4,4,0),"")</f>
        <v/>
      </c>
      <c r="I58" s="53" t="str">
        <f>IFERROR(VLOOKUP(E58,基础数据!$E$4:$H$4,3,0),"")</f>
        <v/>
      </c>
      <c r="J58" s="52"/>
      <c r="K58" s="54" t="str">
        <f t="shared" si="1"/>
        <v/>
      </c>
      <c r="T58" s="33"/>
      <c r="AD58" s="33"/>
      <c r="AN58" s="33"/>
      <c r="AX58" s="33"/>
      <c r="BH58" s="33"/>
      <c r="BR58" s="33"/>
      <c r="CB58" s="33"/>
      <c r="CL58" s="33"/>
      <c r="CV58" s="33"/>
      <c r="DF58" s="33"/>
      <c r="DP58" s="33"/>
      <c r="DZ58" s="33"/>
      <c r="EJ58" s="33"/>
      <c r="ET58" s="33"/>
      <c r="FD58" s="33"/>
      <c r="FN58" s="33"/>
      <c r="FX58" s="33"/>
      <c r="GH58" s="33"/>
      <c r="GR58" s="33"/>
      <c r="HB58" s="33"/>
      <c r="HL58" s="33"/>
      <c r="HV58" s="33"/>
      <c r="IF58" s="33"/>
      <c r="IP58" s="33"/>
      <c r="IZ58" s="33"/>
      <c r="JJ58" s="33"/>
      <c r="JT58" s="33"/>
      <c r="KD58" s="33"/>
      <c r="KN58" s="33"/>
      <c r="KX58" s="33"/>
      <c r="LH58" s="33"/>
      <c r="LR58" s="33"/>
      <c r="MB58" s="33"/>
      <c r="ML58" s="33"/>
      <c r="MV58" s="33"/>
      <c r="NF58" s="33"/>
      <c r="NP58" s="33"/>
      <c r="NZ58" s="33"/>
      <c r="OJ58" s="33"/>
      <c r="OT58" s="33"/>
      <c r="PD58" s="33"/>
      <c r="PN58" s="33"/>
      <c r="PX58" s="33"/>
      <c r="QH58" s="33"/>
      <c r="QR58" s="33"/>
      <c r="RB58" s="33"/>
      <c r="RL58" s="33"/>
      <c r="RV58" s="33"/>
      <c r="SF58" s="33"/>
      <c r="SP58" s="33"/>
      <c r="SZ58" s="33"/>
      <c r="TJ58" s="33"/>
      <c r="TT58" s="33"/>
      <c r="UD58" s="33"/>
      <c r="UN58" s="33"/>
      <c r="UX58" s="33"/>
      <c r="VH58" s="33"/>
      <c r="VR58" s="33"/>
      <c r="WB58" s="33"/>
      <c r="WL58" s="33"/>
      <c r="WV58" s="33"/>
      <c r="XF58" s="33"/>
      <c r="XP58" s="33"/>
      <c r="XZ58" s="33"/>
      <c r="YJ58" s="33"/>
      <c r="YT58" s="33"/>
      <c r="ZD58" s="33"/>
      <c r="ZN58" s="33"/>
      <c r="ZX58" s="33"/>
      <c r="AAH58" s="33"/>
      <c r="AAR58" s="33"/>
      <c r="ABB58" s="33"/>
      <c r="ABL58" s="33"/>
      <c r="ABV58" s="33"/>
      <c r="ACF58" s="33"/>
      <c r="ACP58" s="33"/>
      <c r="ACZ58" s="33"/>
      <c r="ADJ58" s="33"/>
      <c r="ADT58" s="33"/>
      <c r="AED58" s="33"/>
      <c r="AEN58" s="33"/>
      <c r="AEX58" s="33"/>
      <c r="AFH58" s="33"/>
      <c r="AFR58" s="33"/>
      <c r="AGB58" s="33"/>
      <c r="AGL58" s="33"/>
      <c r="AGV58" s="33"/>
      <c r="AHF58" s="33"/>
      <c r="AHP58" s="33"/>
      <c r="AHZ58" s="33"/>
      <c r="AIJ58" s="33"/>
      <c r="AIT58" s="33"/>
      <c r="AJD58" s="33"/>
      <c r="AJN58" s="33"/>
      <c r="AJX58" s="33"/>
      <c r="AKH58" s="33"/>
      <c r="AKR58" s="33"/>
      <c r="ALB58" s="33"/>
      <c r="ALL58" s="33"/>
      <c r="ALV58" s="33"/>
      <c r="AMF58" s="33"/>
      <c r="AMP58" s="33"/>
      <c r="AMZ58" s="33"/>
      <c r="ANJ58" s="33"/>
      <c r="ANT58" s="33"/>
      <c r="AOD58" s="33"/>
      <c r="AON58" s="33"/>
      <c r="AOX58" s="33"/>
      <c r="APH58" s="33"/>
      <c r="APR58" s="33"/>
      <c r="AQB58" s="33"/>
      <c r="AQL58" s="33"/>
      <c r="AQV58" s="33"/>
      <c r="ARF58" s="33"/>
      <c r="ARP58" s="33"/>
      <c r="ARZ58" s="33"/>
      <c r="ASJ58" s="33"/>
      <c r="AST58" s="33"/>
      <c r="ATD58" s="33"/>
      <c r="ATN58" s="33"/>
      <c r="ATX58" s="33"/>
      <c r="AUH58" s="33"/>
      <c r="AUR58" s="33"/>
      <c r="AVB58" s="33"/>
      <c r="AVL58" s="33"/>
      <c r="AVV58" s="33"/>
      <c r="AWF58" s="33"/>
      <c r="AWP58" s="33"/>
      <c r="AWZ58" s="33"/>
      <c r="AXJ58" s="33"/>
      <c r="AXT58" s="33"/>
      <c r="AYD58" s="33"/>
      <c r="AYN58" s="33"/>
      <c r="AYX58" s="33"/>
      <c r="AZH58" s="33"/>
      <c r="AZR58" s="33"/>
      <c r="BAB58" s="33"/>
      <c r="BAL58" s="33"/>
      <c r="BAV58" s="33"/>
      <c r="BBF58" s="33"/>
      <c r="BBP58" s="33"/>
      <c r="BBZ58" s="33"/>
      <c r="BCJ58" s="33"/>
      <c r="BCT58" s="33"/>
      <c r="BDD58" s="33"/>
      <c r="BDN58" s="33"/>
      <c r="BDX58" s="33"/>
      <c r="BEH58" s="33"/>
      <c r="BER58" s="33"/>
      <c r="BFB58" s="33"/>
      <c r="BFL58" s="33"/>
      <c r="BFV58" s="33"/>
      <c r="BGF58" s="33"/>
      <c r="BGP58" s="33"/>
      <c r="BGZ58" s="33"/>
      <c r="BHJ58" s="33"/>
      <c r="BHT58" s="33"/>
      <c r="BID58" s="33"/>
      <c r="BIN58" s="33"/>
      <c r="BIX58" s="33"/>
      <c r="BJH58" s="33"/>
      <c r="BJR58" s="33"/>
      <c r="BKB58" s="33"/>
      <c r="BKL58" s="33"/>
      <c r="BKV58" s="33"/>
      <c r="BLF58" s="33"/>
      <c r="BLP58" s="33"/>
      <c r="BLZ58" s="33"/>
      <c r="BMJ58" s="33"/>
      <c r="BMT58" s="33"/>
      <c r="BND58" s="33"/>
      <c r="BNN58" s="33"/>
      <c r="BNX58" s="33"/>
      <c r="BOH58" s="33"/>
      <c r="BOR58" s="33"/>
      <c r="BPB58" s="33"/>
      <c r="BPL58" s="33"/>
      <c r="BPV58" s="33"/>
      <c r="BQF58" s="33"/>
      <c r="BQP58" s="33"/>
      <c r="BQZ58" s="33"/>
      <c r="BRJ58" s="33"/>
      <c r="BRT58" s="33"/>
      <c r="BSD58" s="33"/>
      <c r="BSN58" s="33"/>
      <c r="BSX58" s="33"/>
      <c r="BTH58" s="33"/>
      <c r="BTR58" s="33"/>
      <c r="BUB58" s="33"/>
      <c r="BUL58" s="33"/>
      <c r="BUV58" s="33"/>
      <c r="BVF58" s="33"/>
      <c r="BVP58" s="33"/>
      <c r="BVZ58" s="33"/>
      <c r="BWJ58" s="33"/>
      <c r="BWT58" s="33"/>
      <c r="BXD58" s="33"/>
      <c r="BXN58" s="33"/>
      <c r="BXX58" s="33"/>
      <c r="BYH58" s="33"/>
      <c r="BYR58" s="33"/>
      <c r="BZB58" s="33"/>
      <c r="BZL58" s="33"/>
      <c r="BZV58" s="33"/>
      <c r="CAF58" s="33"/>
      <c r="CAP58" s="33"/>
      <c r="CAZ58" s="33"/>
      <c r="CBJ58" s="33"/>
      <c r="CBT58" s="33"/>
      <c r="CCD58" s="33"/>
      <c r="CCN58" s="33"/>
      <c r="CCX58" s="33"/>
      <c r="CDH58" s="33"/>
      <c r="CDR58" s="33"/>
      <c r="CEB58" s="33"/>
      <c r="CEL58" s="33"/>
      <c r="CEV58" s="33"/>
      <c r="CFF58" s="33"/>
      <c r="CFP58" s="33"/>
      <c r="CFZ58" s="33"/>
      <c r="CGJ58" s="33"/>
      <c r="CGT58" s="33"/>
      <c r="CHD58" s="33"/>
      <c r="CHN58" s="33"/>
      <c r="CHX58" s="33"/>
      <c r="CIH58" s="33"/>
      <c r="CIR58" s="33"/>
      <c r="CJB58" s="33"/>
      <c r="CJL58" s="33"/>
      <c r="CJV58" s="33"/>
      <c r="CKF58" s="33"/>
      <c r="CKP58" s="33"/>
      <c r="CKZ58" s="33"/>
      <c r="CLJ58" s="33"/>
      <c r="CLT58" s="33"/>
      <c r="CMD58" s="33"/>
      <c r="CMN58" s="33"/>
      <c r="CMX58" s="33"/>
      <c r="CNH58" s="33"/>
      <c r="CNR58" s="33"/>
      <c r="COB58" s="33"/>
      <c r="COL58" s="33"/>
      <c r="COV58" s="33"/>
      <c r="CPF58" s="33"/>
      <c r="CPP58" s="33"/>
      <c r="CPZ58" s="33"/>
      <c r="CQJ58" s="33"/>
      <c r="CQT58" s="33"/>
      <c r="CRD58" s="33"/>
      <c r="CRN58" s="33"/>
      <c r="CRX58" s="33"/>
      <c r="CSH58" s="33"/>
      <c r="CSR58" s="33"/>
      <c r="CTB58" s="33"/>
      <c r="CTL58" s="33"/>
      <c r="CTV58" s="33"/>
    </row>
    <row r="59" s="16" customFormat="1" customHeight="1" spans="1:1020 1030:2040 2050:2570">
      <c r="A59" s="57"/>
      <c r="B59" s="52"/>
      <c r="C59" s="52"/>
      <c r="D59" s="52"/>
      <c r="E59" s="52"/>
      <c r="F59" s="58" t="str">
        <f>IFERROR(VLOOKUP(E59,日报!E:G,2,0),"")</f>
        <v/>
      </c>
      <c r="G59" s="52"/>
      <c r="H59" s="53" t="str">
        <f>IFERROR(VLOOKUP(E59,基础数据!$E$4:$H$4,4,0),"")</f>
        <v/>
      </c>
      <c r="I59" s="53" t="str">
        <f>IFERROR(VLOOKUP(E59,基础数据!$E$4:$H$4,3,0),"")</f>
        <v/>
      </c>
      <c r="J59" s="52"/>
      <c r="K59" s="54" t="str">
        <f t="shared" si="1"/>
        <v/>
      </c>
      <c r="T59" s="33"/>
      <c r="AD59" s="33"/>
      <c r="AN59" s="33"/>
      <c r="AX59" s="33"/>
      <c r="BH59" s="33"/>
      <c r="BR59" s="33"/>
      <c r="CB59" s="33"/>
      <c r="CL59" s="33"/>
      <c r="CV59" s="33"/>
      <c r="DF59" s="33"/>
      <c r="DP59" s="33"/>
      <c r="DZ59" s="33"/>
      <c r="EJ59" s="33"/>
      <c r="ET59" s="33"/>
      <c r="FD59" s="33"/>
      <c r="FN59" s="33"/>
      <c r="FX59" s="33"/>
      <c r="GH59" s="33"/>
      <c r="GR59" s="33"/>
      <c r="HB59" s="33"/>
      <c r="HL59" s="33"/>
      <c r="HV59" s="33"/>
      <c r="IF59" s="33"/>
      <c r="IP59" s="33"/>
      <c r="IZ59" s="33"/>
      <c r="JJ59" s="33"/>
      <c r="JT59" s="33"/>
      <c r="KD59" s="33"/>
      <c r="KN59" s="33"/>
      <c r="KX59" s="33"/>
      <c r="LH59" s="33"/>
      <c r="LR59" s="33"/>
      <c r="MB59" s="33"/>
      <c r="ML59" s="33"/>
      <c r="MV59" s="33"/>
      <c r="NF59" s="33"/>
      <c r="NP59" s="33"/>
      <c r="NZ59" s="33"/>
      <c r="OJ59" s="33"/>
      <c r="OT59" s="33"/>
      <c r="PD59" s="33"/>
      <c r="PN59" s="33"/>
      <c r="PX59" s="33"/>
      <c r="QH59" s="33"/>
      <c r="QR59" s="33"/>
      <c r="RB59" s="33"/>
      <c r="RL59" s="33"/>
      <c r="RV59" s="33"/>
      <c r="SF59" s="33"/>
      <c r="SP59" s="33"/>
      <c r="SZ59" s="33"/>
      <c r="TJ59" s="33"/>
      <c r="TT59" s="33"/>
      <c r="UD59" s="33"/>
      <c r="UN59" s="33"/>
      <c r="UX59" s="33"/>
      <c r="VH59" s="33"/>
      <c r="VR59" s="33"/>
      <c r="WB59" s="33"/>
      <c r="WL59" s="33"/>
      <c r="WV59" s="33"/>
      <c r="XF59" s="33"/>
      <c r="XP59" s="33"/>
      <c r="XZ59" s="33"/>
      <c r="YJ59" s="33"/>
      <c r="YT59" s="33"/>
      <c r="ZD59" s="33"/>
      <c r="ZN59" s="33"/>
      <c r="ZX59" s="33"/>
      <c r="AAH59" s="33"/>
      <c r="AAR59" s="33"/>
      <c r="ABB59" s="33"/>
      <c r="ABL59" s="33"/>
      <c r="ABV59" s="33"/>
      <c r="ACF59" s="33"/>
      <c r="ACP59" s="33"/>
      <c r="ACZ59" s="33"/>
      <c r="ADJ59" s="33"/>
      <c r="ADT59" s="33"/>
      <c r="AED59" s="33"/>
      <c r="AEN59" s="33"/>
      <c r="AEX59" s="33"/>
      <c r="AFH59" s="33"/>
      <c r="AFR59" s="33"/>
      <c r="AGB59" s="33"/>
      <c r="AGL59" s="33"/>
      <c r="AGV59" s="33"/>
      <c r="AHF59" s="33"/>
      <c r="AHP59" s="33"/>
      <c r="AHZ59" s="33"/>
      <c r="AIJ59" s="33"/>
      <c r="AIT59" s="33"/>
      <c r="AJD59" s="33"/>
      <c r="AJN59" s="33"/>
      <c r="AJX59" s="33"/>
      <c r="AKH59" s="33"/>
      <c r="AKR59" s="33"/>
      <c r="ALB59" s="33"/>
      <c r="ALL59" s="33"/>
      <c r="ALV59" s="33"/>
      <c r="AMF59" s="33"/>
      <c r="AMP59" s="33"/>
      <c r="AMZ59" s="33"/>
      <c r="ANJ59" s="33"/>
      <c r="ANT59" s="33"/>
      <c r="AOD59" s="33"/>
      <c r="AON59" s="33"/>
      <c r="AOX59" s="33"/>
      <c r="APH59" s="33"/>
      <c r="APR59" s="33"/>
      <c r="AQB59" s="33"/>
      <c r="AQL59" s="33"/>
      <c r="AQV59" s="33"/>
      <c r="ARF59" s="33"/>
      <c r="ARP59" s="33"/>
      <c r="ARZ59" s="33"/>
      <c r="ASJ59" s="33"/>
      <c r="AST59" s="33"/>
      <c r="ATD59" s="33"/>
      <c r="ATN59" s="33"/>
      <c r="ATX59" s="33"/>
      <c r="AUH59" s="33"/>
      <c r="AUR59" s="33"/>
      <c r="AVB59" s="33"/>
      <c r="AVL59" s="33"/>
      <c r="AVV59" s="33"/>
      <c r="AWF59" s="33"/>
      <c r="AWP59" s="33"/>
      <c r="AWZ59" s="33"/>
      <c r="AXJ59" s="33"/>
      <c r="AXT59" s="33"/>
      <c r="AYD59" s="33"/>
      <c r="AYN59" s="33"/>
      <c r="AYX59" s="33"/>
      <c r="AZH59" s="33"/>
      <c r="AZR59" s="33"/>
      <c r="BAB59" s="33"/>
      <c r="BAL59" s="33"/>
      <c r="BAV59" s="33"/>
      <c r="BBF59" s="33"/>
      <c r="BBP59" s="33"/>
      <c r="BBZ59" s="33"/>
      <c r="BCJ59" s="33"/>
      <c r="BCT59" s="33"/>
      <c r="BDD59" s="33"/>
      <c r="BDN59" s="33"/>
      <c r="BDX59" s="33"/>
      <c r="BEH59" s="33"/>
      <c r="BER59" s="33"/>
      <c r="BFB59" s="33"/>
      <c r="BFL59" s="33"/>
      <c r="BFV59" s="33"/>
      <c r="BGF59" s="33"/>
      <c r="BGP59" s="33"/>
      <c r="BGZ59" s="33"/>
      <c r="BHJ59" s="33"/>
      <c r="BHT59" s="33"/>
      <c r="BID59" s="33"/>
      <c r="BIN59" s="33"/>
      <c r="BIX59" s="33"/>
      <c r="BJH59" s="33"/>
      <c r="BJR59" s="33"/>
      <c r="BKB59" s="33"/>
      <c r="BKL59" s="33"/>
      <c r="BKV59" s="33"/>
      <c r="BLF59" s="33"/>
      <c r="BLP59" s="33"/>
      <c r="BLZ59" s="33"/>
      <c r="BMJ59" s="33"/>
      <c r="BMT59" s="33"/>
      <c r="BND59" s="33"/>
      <c r="BNN59" s="33"/>
      <c r="BNX59" s="33"/>
      <c r="BOH59" s="33"/>
      <c r="BOR59" s="33"/>
      <c r="BPB59" s="33"/>
      <c r="BPL59" s="33"/>
      <c r="BPV59" s="33"/>
      <c r="BQF59" s="33"/>
      <c r="BQP59" s="33"/>
      <c r="BQZ59" s="33"/>
      <c r="BRJ59" s="33"/>
      <c r="BRT59" s="33"/>
      <c r="BSD59" s="33"/>
      <c r="BSN59" s="33"/>
      <c r="BSX59" s="33"/>
      <c r="BTH59" s="33"/>
      <c r="BTR59" s="33"/>
      <c r="BUB59" s="33"/>
      <c r="BUL59" s="33"/>
      <c r="BUV59" s="33"/>
      <c r="BVF59" s="33"/>
      <c r="BVP59" s="33"/>
      <c r="BVZ59" s="33"/>
      <c r="BWJ59" s="33"/>
      <c r="BWT59" s="33"/>
      <c r="BXD59" s="33"/>
      <c r="BXN59" s="33"/>
      <c r="BXX59" s="33"/>
      <c r="BYH59" s="33"/>
      <c r="BYR59" s="33"/>
      <c r="BZB59" s="33"/>
      <c r="BZL59" s="33"/>
      <c r="BZV59" s="33"/>
      <c r="CAF59" s="33"/>
      <c r="CAP59" s="33"/>
      <c r="CAZ59" s="33"/>
      <c r="CBJ59" s="33"/>
      <c r="CBT59" s="33"/>
      <c r="CCD59" s="33"/>
      <c r="CCN59" s="33"/>
      <c r="CCX59" s="33"/>
      <c r="CDH59" s="33"/>
      <c r="CDR59" s="33"/>
      <c r="CEB59" s="33"/>
      <c r="CEL59" s="33"/>
      <c r="CEV59" s="33"/>
      <c r="CFF59" s="33"/>
      <c r="CFP59" s="33"/>
      <c r="CFZ59" s="33"/>
      <c r="CGJ59" s="33"/>
      <c r="CGT59" s="33"/>
      <c r="CHD59" s="33"/>
      <c r="CHN59" s="33"/>
      <c r="CHX59" s="33"/>
      <c r="CIH59" s="33"/>
      <c r="CIR59" s="33"/>
      <c r="CJB59" s="33"/>
      <c r="CJL59" s="33"/>
      <c r="CJV59" s="33"/>
      <c r="CKF59" s="33"/>
      <c r="CKP59" s="33"/>
      <c r="CKZ59" s="33"/>
      <c r="CLJ59" s="33"/>
      <c r="CLT59" s="33"/>
      <c r="CMD59" s="33"/>
      <c r="CMN59" s="33"/>
      <c r="CMX59" s="33"/>
      <c r="CNH59" s="33"/>
      <c r="CNR59" s="33"/>
      <c r="COB59" s="33"/>
      <c r="COL59" s="33"/>
      <c r="COV59" s="33"/>
      <c r="CPF59" s="33"/>
      <c r="CPP59" s="33"/>
      <c r="CPZ59" s="33"/>
      <c r="CQJ59" s="33"/>
      <c r="CQT59" s="33"/>
      <c r="CRD59" s="33"/>
      <c r="CRN59" s="33"/>
      <c r="CRX59" s="33"/>
      <c r="CSH59" s="33"/>
      <c r="CSR59" s="33"/>
      <c r="CTB59" s="33"/>
      <c r="CTL59" s="33"/>
      <c r="CTV59" s="33"/>
    </row>
    <row r="60" s="16" customFormat="1" customHeight="1" spans="1:1020 1030:2040 2050:2570">
      <c r="A60" s="57"/>
      <c r="B60" s="52"/>
      <c r="C60" s="52"/>
      <c r="D60" s="52"/>
      <c r="E60" s="52"/>
      <c r="F60" s="58" t="str">
        <f>IFERROR(VLOOKUP(E60,日报!E:G,2,0),"")</f>
        <v/>
      </c>
      <c r="G60" s="52"/>
      <c r="H60" s="53" t="str">
        <f>IFERROR(VLOOKUP(E60,基础数据!$E$4:$H$4,4,0),"")</f>
        <v/>
      </c>
      <c r="I60" s="53" t="str">
        <f>IFERROR(VLOOKUP(E60,基础数据!$E$4:$H$4,3,0),"")</f>
        <v/>
      </c>
      <c r="J60" s="52"/>
      <c r="K60" s="54" t="str">
        <f t="shared" si="1"/>
        <v/>
      </c>
      <c r="T60" s="33"/>
      <c r="AD60" s="33"/>
      <c r="AN60" s="33"/>
      <c r="AX60" s="33"/>
      <c r="BH60" s="33"/>
      <c r="BR60" s="33"/>
      <c r="CB60" s="33"/>
      <c r="CL60" s="33"/>
      <c r="CV60" s="33"/>
      <c r="DF60" s="33"/>
      <c r="DP60" s="33"/>
      <c r="DZ60" s="33"/>
      <c r="EJ60" s="33"/>
      <c r="ET60" s="33"/>
      <c r="FD60" s="33"/>
      <c r="FN60" s="33"/>
      <c r="FX60" s="33"/>
      <c r="GH60" s="33"/>
      <c r="GR60" s="33"/>
      <c r="HB60" s="33"/>
      <c r="HL60" s="33"/>
      <c r="HV60" s="33"/>
      <c r="IF60" s="33"/>
      <c r="IP60" s="33"/>
      <c r="IZ60" s="33"/>
      <c r="JJ60" s="33"/>
      <c r="JT60" s="33"/>
      <c r="KD60" s="33"/>
      <c r="KN60" s="33"/>
      <c r="KX60" s="33"/>
      <c r="LH60" s="33"/>
      <c r="LR60" s="33"/>
      <c r="MB60" s="33"/>
      <c r="ML60" s="33"/>
      <c r="MV60" s="33"/>
      <c r="NF60" s="33"/>
      <c r="NP60" s="33"/>
      <c r="NZ60" s="33"/>
      <c r="OJ60" s="33"/>
      <c r="OT60" s="33"/>
      <c r="PD60" s="33"/>
      <c r="PN60" s="33"/>
      <c r="PX60" s="33"/>
      <c r="QH60" s="33"/>
      <c r="QR60" s="33"/>
      <c r="RB60" s="33"/>
      <c r="RL60" s="33"/>
      <c r="RV60" s="33"/>
      <c r="SF60" s="33"/>
      <c r="SP60" s="33"/>
      <c r="SZ60" s="33"/>
      <c r="TJ60" s="33"/>
      <c r="TT60" s="33"/>
      <c r="UD60" s="33"/>
      <c r="UN60" s="33"/>
      <c r="UX60" s="33"/>
      <c r="VH60" s="33"/>
      <c r="VR60" s="33"/>
      <c r="WB60" s="33"/>
      <c r="WL60" s="33"/>
      <c r="WV60" s="33"/>
      <c r="XF60" s="33"/>
      <c r="XP60" s="33"/>
      <c r="XZ60" s="33"/>
      <c r="YJ60" s="33"/>
      <c r="YT60" s="33"/>
      <c r="ZD60" s="33"/>
      <c r="ZN60" s="33"/>
      <c r="ZX60" s="33"/>
      <c r="AAH60" s="33"/>
      <c r="AAR60" s="33"/>
      <c r="ABB60" s="33"/>
      <c r="ABL60" s="33"/>
      <c r="ABV60" s="33"/>
      <c r="ACF60" s="33"/>
      <c r="ACP60" s="33"/>
      <c r="ACZ60" s="33"/>
      <c r="ADJ60" s="33"/>
      <c r="ADT60" s="33"/>
      <c r="AED60" s="33"/>
      <c r="AEN60" s="33"/>
      <c r="AEX60" s="33"/>
      <c r="AFH60" s="33"/>
      <c r="AFR60" s="33"/>
      <c r="AGB60" s="33"/>
      <c r="AGL60" s="33"/>
      <c r="AGV60" s="33"/>
      <c r="AHF60" s="33"/>
      <c r="AHP60" s="33"/>
      <c r="AHZ60" s="33"/>
      <c r="AIJ60" s="33"/>
      <c r="AIT60" s="33"/>
      <c r="AJD60" s="33"/>
      <c r="AJN60" s="33"/>
      <c r="AJX60" s="33"/>
      <c r="AKH60" s="33"/>
      <c r="AKR60" s="33"/>
      <c r="ALB60" s="33"/>
      <c r="ALL60" s="33"/>
      <c r="ALV60" s="33"/>
      <c r="AMF60" s="33"/>
      <c r="AMP60" s="33"/>
      <c r="AMZ60" s="33"/>
      <c r="ANJ60" s="33"/>
      <c r="ANT60" s="33"/>
      <c r="AOD60" s="33"/>
      <c r="AON60" s="33"/>
      <c r="AOX60" s="33"/>
      <c r="APH60" s="33"/>
      <c r="APR60" s="33"/>
      <c r="AQB60" s="33"/>
      <c r="AQL60" s="33"/>
      <c r="AQV60" s="33"/>
      <c r="ARF60" s="33"/>
      <c r="ARP60" s="33"/>
      <c r="ARZ60" s="33"/>
      <c r="ASJ60" s="33"/>
      <c r="AST60" s="33"/>
      <c r="ATD60" s="33"/>
      <c r="ATN60" s="33"/>
      <c r="ATX60" s="33"/>
      <c r="AUH60" s="33"/>
      <c r="AUR60" s="33"/>
      <c r="AVB60" s="33"/>
      <c r="AVL60" s="33"/>
      <c r="AVV60" s="33"/>
      <c r="AWF60" s="33"/>
      <c r="AWP60" s="33"/>
      <c r="AWZ60" s="33"/>
      <c r="AXJ60" s="33"/>
      <c r="AXT60" s="33"/>
      <c r="AYD60" s="33"/>
      <c r="AYN60" s="33"/>
      <c r="AYX60" s="33"/>
      <c r="AZH60" s="33"/>
      <c r="AZR60" s="33"/>
      <c r="BAB60" s="33"/>
      <c r="BAL60" s="33"/>
      <c r="BAV60" s="33"/>
      <c r="BBF60" s="33"/>
      <c r="BBP60" s="33"/>
      <c r="BBZ60" s="33"/>
      <c r="BCJ60" s="33"/>
      <c r="BCT60" s="33"/>
      <c r="BDD60" s="33"/>
      <c r="BDN60" s="33"/>
      <c r="BDX60" s="33"/>
      <c r="BEH60" s="33"/>
      <c r="BER60" s="33"/>
      <c r="BFB60" s="33"/>
      <c r="BFL60" s="33"/>
      <c r="BFV60" s="33"/>
      <c r="BGF60" s="33"/>
      <c r="BGP60" s="33"/>
      <c r="BGZ60" s="33"/>
      <c r="BHJ60" s="33"/>
      <c r="BHT60" s="33"/>
      <c r="BID60" s="33"/>
      <c r="BIN60" s="33"/>
      <c r="BIX60" s="33"/>
      <c r="BJH60" s="33"/>
      <c r="BJR60" s="33"/>
      <c r="BKB60" s="33"/>
      <c r="BKL60" s="33"/>
      <c r="BKV60" s="33"/>
      <c r="BLF60" s="33"/>
      <c r="BLP60" s="33"/>
      <c r="BLZ60" s="33"/>
      <c r="BMJ60" s="33"/>
      <c r="BMT60" s="33"/>
      <c r="BND60" s="33"/>
      <c r="BNN60" s="33"/>
      <c r="BNX60" s="33"/>
      <c r="BOH60" s="33"/>
      <c r="BOR60" s="33"/>
      <c r="BPB60" s="33"/>
      <c r="BPL60" s="33"/>
      <c r="BPV60" s="33"/>
      <c r="BQF60" s="33"/>
      <c r="BQP60" s="33"/>
      <c r="BQZ60" s="33"/>
      <c r="BRJ60" s="33"/>
      <c r="BRT60" s="33"/>
      <c r="BSD60" s="33"/>
      <c r="BSN60" s="33"/>
      <c r="BSX60" s="33"/>
      <c r="BTH60" s="33"/>
      <c r="BTR60" s="33"/>
      <c r="BUB60" s="33"/>
      <c r="BUL60" s="33"/>
      <c r="BUV60" s="33"/>
      <c r="BVF60" s="33"/>
      <c r="BVP60" s="33"/>
      <c r="BVZ60" s="33"/>
      <c r="BWJ60" s="33"/>
      <c r="BWT60" s="33"/>
      <c r="BXD60" s="33"/>
      <c r="BXN60" s="33"/>
      <c r="BXX60" s="33"/>
      <c r="BYH60" s="33"/>
      <c r="BYR60" s="33"/>
      <c r="BZB60" s="33"/>
      <c r="BZL60" s="33"/>
      <c r="BZV60" s="33"/>
      <c r="CAF60" s="33"/>
      <c r="CAP60" s="33"/>
      <c r="CAZ60" s="33"/>
      <c r="CBJ60" s="33"/>
      <c r="CBT60" s="33"/>
      <c r="CCD60" s="33"/>
      <c r="CCN60" s="33"/>
      <c r="CCX60" s="33"/>
      <c r="CDH60" s="33"/>
      <c r="CDR60" s="33"/>
      <c r="CEB60" s="33"/>
      <c r="CEL60" s="33"/>
      <c r="CEV60" s="33"/>
      <c r="CFF60" s="33"/>
      <c r="CFP60" s="33"/>
      <c r="CFZ60" s="33"/>
      <c r="CGJ60" s="33"/>
      <c r="CGT60" s="33"/>
      <c r="CHD60" s="33"/>
      <c r="CHN60" s="33"/>
      <c r="CHX60" s="33"/>
      <c r="CIH60" s="33"/>
      <c r="CIR60" s="33"/>
      <c r="CJB60" s="33"/>
      <c r="CJL60" s="33"/>
      <c r="CJV60" s="33"/>
      <c r="CKF60" s="33"/>
      <c r="CKP60" s="33"/>
      <c r="CKZ60" s="33"/>
      <c r="CLJ60" s="33"/>
      <c r="CLT60" s="33"/>
      <c r="CMD60" s="33"/>
      <c r="CMN60" s="33"/>
      <c r="CMX60" s="33"/>
      <c r="CNH60" s="33"/>
      <c r="CNR60" s="33"/>
      <c r="COB60" s="33"/>
      <c r="COL60" s="33"/>
      <c r="COV60" s="33"/>
      <c r="CPF60" s="33"/>
      <c r="CPP60" s="33"/>
      <c r="CPZ60" s="33"/>
      <c r="CQJ60" s="33"/>
      <c r="CQT60" s="33"/>
      <c r="CRD60" s="33"/>
      <c r="CRN60" s="33"/>
      <c r="CRX60" s="33"/>
      <c r="CSH60" s="33"/>
      <c r="CSR60" s="33"/>
      <c r="CTB60" s="33"/>
      <c r="CTL60" s="33"/>
      <c r="CTV60" s="33"/>
    </row>
    <row r="61" s="16" customFormat="1" customHeight="1" spans="1:1020 1030:2040 2050:2570">
      <c r="A61" s="57"/>
      <c r="B61" s="52"/>
      <c r="C61" s="52"/>
      <c r="D61" s="52"/>
      <c r="E61" s="52"/>
      <c r="F61" s="58" t="str">
        <f>IFERROR(VLOOKUP(E61,日报!E:G,2,0),"")</f>
        <v/>
      </c>
      <c r="G61" s="52"/>
      <c r="H61" s="53" t="str">
        <f>IFERROR(VLOOKUP(E61,基础数据!$E$4:$H$4,4,0),"")</f>
        <v/>
      </c>
      <c r="I61" s="53" t="str">
        <f>IFERROR(VLOOKUP(E61,基础数据!$E$4:$H$4,3,0),"")</f>
        <v/>
      </c>
      <c r="J61" s="52"/>
      <c r="K61" s="54" t="str">
        <f t="shared" si="1"/>
        <v/>
      </c>
      <c r="T61" s="33"/>
      <c r="AD61" s="33"/>
      <c r="AN61" s="33"/>
      <c r="AX61" s="33"/>
      <c r="BH61" s="33"/>
      <c r="BR61" s="33"/>
      <c r="CB61" s="33"/>
      <c r="CL61" s="33"/>
      <c r="CV61" s="33"/>
      <c r="DF61" s="33"/>
      <c r="DP61" s="33"/>
      <c r="DZ61" s="33"/>
      <c r="EJ61" s="33"/>
      <c r="ET61" s="33"/>
      <c r="FD61" s="33"/>
      <c r="FN61" s="33"/>
      <c r="FX61" s="33"/>
      <c r="GH61" s="33"/>
      <c r="GR61" s="33"/>
      <c r="HB61" s="33"/>
      <c r="HL61" s="33"/>
      <c r="HV61" s="33"/>
      <c r="IF61" s="33"/>
      <c r="IP61" s="33"/>
      <c r="IZ61" s="33"/>
      <c r="JJ61" s="33"/>
      <c r="JT61" s="33"/>
      <c r="KD61" s="33"/>
      <c r="KN61" s="33"/>
      <c r="KX61" s="33"/>
      <c r="LH61" s="33"/>
      <c r="LR61" s="33"/>
      <c r="MB61" s="33"/>
      <c r="ML61" s="33"/>
      <c r="MV61" s="33"/>
      <c r="NF61" s="33"/>
      <c r="NP61" s="33"/>
      <c r="NZ61" s="33"/>
      <c r="OJ61" s="33"/>
      <c r="OT61" s="33"/>
      <c r="PD61" s="33"/>
      <c r="PN61" s="33"/>
      <c r="PX61" s="33"/>
      <c r="QH61" s="33"/>
      <c r="QR61" s="33"/>
      <c r="RB61" s="33"/>
      <c r="RL61" s="33"/>
      <c r="RV61" s="33"/>
      <c r="SF61" s="33"/>
      <c r="SP61" s="33"/>
      <c r="SZ61" s="33"/>
      <c r="TJ61" s="33"/>
      <c r="TT61" s="33"/>
      <c r="UD61" s="33"/>
      <c r="UN61" s="33"/>
      <c r="UX61" s="33"/>
      <c r="VH61" s="33"/>
      <c r="VR61" s="33"/>
      <c r="WB61" s="33"/>
      <c r="WL61" s="33"/>
      <c r="WV61" s="33"/>
      <c r="XF61" s="33"/>
      <c r="XP61" s="33"/>
      <c r="XZ61" s="33"/>
      <c r="YJ61" s="33"/>
      <c r="YT61" s="33"/>
      <c r="ZD61" s="33"/>
      <c r="ZN61" s="33"/>
      <c r="ZX61" s="33"/>
      <c r="AAH61" s="33"/>
      <c r="AAR61" s="33"/>
      <c r="ABB61" s="33"/>
      <c r="ABL61" s="33"/>
      <c r="ABV61" s="33"/>
      <c r="ACF61" s="33"/>
      <c r="ACP61" s="33"/>
      <c r="ACZ61" s="33"/>
      <c r="ADJ61" s="33"/>
      <c r="ADT61" s="33"/>
      <c r="AED61" s="33"/>
      <c r="AEN61" s="33"/>
      <c r="AEX61" s="33"/>
      <c r="AFH61" s="33"/>
      <c r="AFR61" s="33"/>
      <c r="AGB61" s="33"/>
      <c r="AGL61" s="33"/>
      <c r="AGV61" s="33"/>
      <c r="AHF61" s="33"/>
      <c r="AHP61" s="33"/>
      <c r="AHZ61" s="33"/>
      <c r="AIJ61" s="33"/>
      <c r="AIT61" s="33"/>
      <c r="AJD61" s="33"/>
      <c r="AJN61" s="33"/>
      <c r="AJX61" s="33"/>
      <c r="AKH61" s="33"/>
      <c r="AKR61" s="33"/>
      <c r="ALB61" s="33"/>
      <c r="ALL61" s="33"/>
      <c r="ALV61" s="33"/>
      <c r="AMF61" s="33"/>
      <c r="AMP61" s="33"/>
      <c r="AMZ61" s="33"/>
      <c r="ANJ61" s="33"/>
      <c r="ANT61" s="33"/>
      <c r="AOD61" s="33"/>
      <c r="AON61" s="33"/>
      <c r="AOX61" s="33"/>
      <c r="APH61" s="33"/>
      <c r="APR61" s="33"/>
      <c r="AQB61" s="33"/>
      <c r="AQL61" s="33"/>
      <c r="AQV61" s="33"/>
      <c r="ARF61" s="33"/>
      <c r="ARP61" s="33"/>
      <c r="ARZ61" s="33"/>
      <c r="ASJ61" s="33"/>
      <c r="AST61" s="33"/>
      <c r="ATD61" s="33"/>
      <c r="ATN61" s="33"/>
      <c r="ATX61" s="33"/>
      <c r="AUH61" s="33"/>
      <c r="AUR61" s="33"/>
      <c r="AVB61" s="33"/>
      <c r="AVL61" s="33"/>
      <c r="AVV61" s="33"/>
      <c r="AWF61" s="33"/>
      <c r="AWP61" s="33"/>
      <c r="AWZ61" s="33"/>
      <c r="AXJ61" s="33"/>
      <c r="AXT61" s="33"/>
      <c r="AYD61" s="33"/>
      <c r="AYN61" s="33"/>
      <c r="AYX61" s="33"/>
      <c r="AZH61" s="33"/>
      <c r="AZR61" s="33"/>
      <c r="BAB61" s="33"/>
      <c r="BAL61" s="33"/>
      <c r="BAV61" s="33"/>
      <c r="BBF61" s="33"/>
      <c r="BBP61" s="33"/>
      <c r="BBZ61" s="33"/>
      <c r="BCJ61" s="33"/>
      <c r="BCT61" s="33"/>
      <c r="BDD61" s="33"/>
      <c r="BDN61" s="33"/>
      <c r="BDX61" s="33"/>
      <c r="BEH61" s="33"/>
      <c r="BER61" s="33"/>
      <c r="BFB61" s="33"/>
      <c r="BFL61" s="33"/>
      <c r="BFV61" s="33"/>
      <c r="BGF61" s="33"/>
      <c r="BGP61" s="33"/>
      <c r="BGZ61" s="33"/>
      <c r="BHJ61" s="33"/>
      <c r="BHT61" s="33"/>
      <c r="BID61" s="33"/>
      <c r="BIN61" s="33"/>
      <c r="BIX61" s="33"/>
      <c r="BJH61" s="33"/>
      <c r="BJR61" s="33"/>
      <c r="BKB61" s="33"/>
      <c r="BKL61" s="33"/>
      <c r="BKV61" s="33"/>
      <c r="BLF61" s="33"/>
      <c r="BLP61" s="33"/>
      <c r="BLZ61" s="33"/>
      <c r="BMJ61" s="33"/>
      <c r="BMT61" s="33"/>
      <c r="BND61" s="33"/>
      <c r="BNN61" s="33"/>
      <c r="BNX61" s="33"/>
      <c r="BOH61" s="33"/>
      <c r="BOR61" s="33"/>
      <c r="BPB61" s="33"/>
      <c r="BPL61" s="33"/>
      <c r="BPV61" s="33"/>
      <c r="BQF61" s="33"/>
      <c r="BQP61" s="33"/>
      <c r="BQZ61" s="33"/>
      <c r="BRJ61" s="33"/>
      <c r="BRT61" s="33"/>
      <c r="BSD61" s="33"/>
      <c r="BSN61" s="33"/>
      <c r="BSX61" s="33"/>
      <c r="BTH61" s="33"/>
      <c r="BTR61" s="33"/>
      <c r="BUB61" s="33"/>
      <c r="BUL61" s="33"/>
      <c r="BUV61" s="33"/>
      <c r="BVF61" s="33"/>
      <c r="BVP61" s="33"/>
      <c r="BVZ61" s="33"/>
      <c r="BWJ61" s="33"/>
      <c r="BWT61" s="33"/>
      <c r="BXD61" s="33"/>
      <c r="BXN61" s="33"/>
      <c r="BXX61" s="33"/>
      <c r="BYH61" s="33"/>
      <c r="BYR61" s="33"/>
      <c r="BZB61" s="33"/>
      <c r="BZL61" s="33"/>
      <c r="BZV61" s="33"/>
      <c r="CAF61" s="33"/>
      <c r="CAP61" s="33"/>
      <c r="CAZ61" s="33"/>
      <c r="CBJ61" s="33"/>
      <c r="CBT61" s="33"/>
      <c r="CCD61" s="33"/>
      <c r="CCN61" s="33"/>
      <c r="CCX61" s="33"/>
      <c r="CDH61" s="33"/>
      <c r="CDR61" s="33"/>
      <c r="CEB61" s="33"/>
      <c r="CEL61" s="33"/>
      <c r="CEV61" s="33"/>
      <c r="CFF61" s="33"/>
      <c r="CFP61" s="33"/>
      <c r="CFZ61" s="33"/>
      <c r="CGJ61" s="33"/>
      <c r="CGT61" s="33"/>
      <c r="CHD61" s="33"/>
      <c r="CHN61" s="33"/>
      <c r="CHX61" s="33"/>
      <c r="CIH61" s="33"/>
      <c r="CIR61" s="33"/>
      <c r="CJB61" s="33"/>
      <c r="CJL61" s="33"/>
      <c r="CJV61" s="33"/>
      <c r="CKF61" s="33"/>
      <c r="CKP61" s="33"/>
      <c r="CKZ61" s="33"/>
      <c r="CLJ61" s="33"/>
      <c r="CLT61" s="33"/>
      <c r="CMD61" s="33"/>
      <c r="CMN61" s="33"/>
      <c r="CMX61" s="33"/>
      <c r="CNH61" s="33"/>
      <c r="CNR61" s="33"/>
      <c r="COB61" s="33"/>
      <c r="COL61" s="33"/>
      <c r="COV61" s="33"/>
      <c r="CPF61" s="33"/>
      <c r="CPP61" s="33"/>
      <c r="CPZ61" s="33"/>
      <c r="CQJ61" s="33"/>
      <c r="CQT61" s="33"/>
      <c r="CRD61" s="33"/>
      <c r="CRN61" s="33"/>
      <c r="CRX61" s="33"/>
      <c r="CSH61" s="33"/>
      <c r="CSR61" s="33"/>
      <c r="CTB61" s="33"/>
      <c r="CTL61" s="33"/>
      <c r="CTV61" s="33"/>
    </row>
    <row r="62" s="16" customFormat="1" customHeight="1" spans="1:1020 1030:2040 2050:2570">
      <c r="A62" s="57"/>
      <c r="B62" s="52"/>
      <c r="C62" s="52"/>
      <c r="D62" s="52"/>
      <c r="E62" s="52"/>
      <c r="F62" s="58" t="str">
        <f>IFERROR(VLOOKUP(E62,日报!E:G,2,0),"")</f>
        <v/>
      </c>
      <c r="G62" s="52"/>
      <c r="H62" s="53" t="str">
        <f>IFERROR(VLOOKUP(E62,基础数据!$E$4:$H$4,4,0),"")</f>
        <v/>
      </c>
      <c r="I62" s="53" t="str">
        <f>IFERROR(VLOOKUP(E62,基础数据!$E$4:$H$4,3,0),"")</f>
        <v/>
      </c>
      <c r="J62" s="52"/>
      <c r="K62" s="54" t="str">
        <f t="shared" si="1"/>
        <v/>
      </c>
      <c r="T62" s="33"/>
      <c r="AD62" s="33"/>
      <c r="AN62" s="33"/>
      <c r="AX62" s="33"/>
      <c r="BH62" s="33"/>
      <c r="BR62" s="33"/>
      <c r="CB62" s="33"/>
      <c r="CL62" s="33"/>
      <c r="CV62" s="33"/>
      <c r="DF62" s="33"/>
      <c r="DP62" s="33"/>
      <c r="DZ62" s="33"/>
      <c r="EJ62" s="33"/>
      <c r="ET62" s="33"/>
      <c r="FD62" s="33"/>
      <c r="FN62" s="33"/>
      <c r="FX62" s="33"/>
      <c r="GH62" s="33"/>
      <c r="GR62" s="33"/>
      <c r="HB62" s="33"/>
      <c r="HL62" s="33"/>
      <c r="HV62" s="33"/>
      <c r="IF62" s="33"/>
      <c r="IP62" s="33"/>
      <c r="IZ62" s="33"/>
      <c r="JJ62" s="33"/>
      <c r="JT62" s="33"/>
      <c r="KD62" s="33"/>
      <c r="KN62" s="33"/>
      <c r="KX62" s="33"/>
      <c r="LH62" s="33"/>
      <c r="LR62" s="33"/>
      <c r="MB62" s="33"/>
      <c r="ML62" s="33"/>
      <c r="MV62" s="33"/>
      <c r="NF62" s="33"/>
      <c r="NP62" s="33"/>
      <c r="NZ62" s="33"/>
      <c r="OJ62" s="33"/>
      <c r="OT62" s="33"/>
      <c r="PD62" s="33"/>
      <c r="PN62" s="33"/>
      <c r="PX62" s="33"/>
      <c r="QH62" s="33"/>
      <c r="QR62" s="33"/>
      <c r="RB62" s="33"/>
      <c r="RL62" s="33"/>
      <c r="RV62" s="33"/>
      <c r="SF62" s="33"/>
      <c r="SP62" s="33"/>
      <c r="SZ62" s="33"/>
      <c r="TJ62" s="33"/>
      <c r="TT62" s="33"/>
      <c r="UD62" s="33"/>
      <c r="UN62" s="33"/>
      <c r="UX62" s="33"/>
      <c r="VH62" s="33"/>
      <c r="VR62" s="33"/>
      <c r="WB62" s="33"/>
      <c r="WL62" s="33"/>
      <c r="WV62" s="33"/>
      <c r="XF62" s="33"/>
      <c r="XP62" s="33"/>
      <c r="XZ62" s="33"/>
      <c r="YJ62" s="33"/>
      <c r="YT62" s="33"/>
      <c r="ZD62" s="33"/>
      <c r="ZN62" s="33"/>
      <c r="ZX62" s="33"/>
      <c r="AAH62" s="33"/>
      <c r="AAR62" s="33"/>
      <c r="ABB62" s="33"/>
      <c r="ABL62" s="33"/>
      <c r="ABV62" s="33"/>
      <c r="ACF62" s="33"/>
      <c r="ACP62" s="33"/>
      <c r="ACZ62" s="33"/>
      <c r="ADJ62" s="33"/>
      <c r="ADT62" s="33"/>
      <c r="AED62" s="33"/>
      <c r="AEN62" s="33"/>
      <c r="AEX62" s="33"/>
      <c r="AFH62" s="33"/>
      <c r="AFR62" s="33"/>
      <c r="AGB62" s="33"/>
      <c r="AGL62" s="33"/>
      <c r="AGV62" s="33"/>
      <c r="AHF62" s="33"/>
      <c r="AHP62" s="33"/>
      <c r="AHZ62" s="33"/>
      <c r="AIJ62" s="33"/>
      <c r="AIT62" s="33"/>
      <c r="AJD62" s="33"/>
      <c r="AJN62" s="33"/>
      <c r="AJX62" s="33"/>
      <c r="AKH62" s="33"/>
      <c r="AKR62" s="33"/>
      <c r="ALB62" s="33"/>
      <c r="ALL62" s="33"/>
      <c r="ALV62" s="33"/>
      <c r="AMF62" s="33"/>
      <c r="AMP62" s="33"/>
      <c r="AMZ62" s="33"/>
      <c r="ANJ62" s="33"/>
      <c r="ANT62" s="33"/>
      <c r="AOD62" s="33"/>
      <c r="AON62" s="33"/>
      <c r="AOX62" s="33"/>
      <c r="APH62" s="33"/>
      <c r="APR62" s="33"/>
      <c r="AQB62" s="33"/>
      <c r="AQL62" s="33"/>
      <c r="AQV62" s="33"/>
      <c r="ARF62" s="33"/>
      <c r="ARP62" s="33"/>
      <c r="ARZ62" s="33"/>
      <c r="ASJ62" s="33"/>
      <c r="AST62" s="33"/>
      <c r="ATD62" s="33"/>
      <c r="ATN62" s="33"/>
      <c r="ATX62" s="33"/>
      <c r="AUH62" s="33"/>
      <c r="AUR62" s="33"/>
      <c r="AVB62" s="33"/>
      <c r="AVL62" s="33"/>
      <c r="AVV62" s="33"/>
      <c r="AWF62" s="33"/>
      <c r="AWP62" s="33"/>
      <c r="AWZ62" s="33"/>
      <c r="AXJ62" s="33"/>
      <c r="AXT62" s="33"/>
      <c r="AYD62" s="33"/>
      <c r="AYN62" s="33"/>
      <c r="AYX62" s="33"/>
      <c r="AZH62" s="33"/>
      <c r="AZR62" s="33"/>
      <c r="BAB62" s="33"/>
      <c r="BAL62" s="33"/>
      <c r="BAV62" s="33"/>
      <c r="BBF62" s="33"/>
      <c r="BBP62" s="33"/>
      <c r="BBZ62" s="33"/>
      <c r="BCJ62" s="33"/>
      <c r="BCT62" s="33"/>
      <c r="BDD62" s="33"/>
      <c r="BDN62" s="33"/>
      <c r="BDX62" s="33"/>
      <c r="BEH62" s="33"/>
      <c r="BER62" s="33"/>
      <c r="BFB62" s="33"/>
      <c r="BFL62" s="33"/>
      <c r="BFV62" s="33"/>
      <c r="BGF62" s="33"/>
      <c r="BGP62" s="33"/>
      <c r="BGZ62" s="33"/>
      <c r="BHJ62" s="33"/>
      <c r="BHT62" s="33"/>
      <c r="BID62" s="33"/>
      <c r="BIN62" s="33"/>
      <c r="BIX62" s="33"/>
      <c r="BJH62" s="33"/>
      <c r="BJR62" s="33"/>
      <c r="BKB62" s="33"/>
      <c r="BKL62" s="33"/>
      <c r="BKV62" s="33"/>
      <c r="BLF62" s="33"/>
      <c r="BLP62" s="33"/>
      <c r="BLZ62" s="33"/>
      <c r="BMJ62" s="33"/>
      <c r="BMT62" s="33"/>
      <c r="BND62" s="33"/>
      <c r="BNN62" s="33"/>
      <c r="BNX62" s="33"/>
      <c r="BOH62" s="33"/>
      <c r="BOR62" s="33"/>
      <c r="BPB62" s="33"/>
      <c r="BPL62" s="33"/>
      <c r="BPV62" s="33"/>
      <c r="BQF62" s="33"/>
      <c r="BQP62" s="33"/>
      <c r="BQZ62" s="33"/>
      <c r="BRJ62" s="33"/>
      <c r="BRT62" s="33"/>
      <c r="BSD62" s="33"/>
      <c r="BSN62" s="33"/>
      <c r="BSX62" s="33"/>
      <c r="BTH62" s="33"/>
      <c r="BTR62" s="33"/>
      <c r="BUB62" s="33"/>
      <c r="BUL62" s="33"/>
      <c r="BUV62" s="33"/>
      <c r="BVF62" s="33"/>
      <c r="BVP62" s="33"/>
      <c r="BVZ62" s="33"/>
      <c r="BWJ62" s="33"/>
      <c r="BWT62" s="33"/>
      <c r="BXD62" s="33"/>
      <c r="BXN62" s="33"/>
      <c r="BXX62" s="33"/>
      <c r="BYH62" s="33"/>
      <c r="BYR62" s="33"/>
      <c r="BZB62" s="33"/>
      <c r="BZL62" s="33"/>
      <c r="BZV62" s="33"/>
      <c r="CAF62" s="33"/>
      <c r="CAP62" s="33"/>
      <c r="CAZ62" s="33"/>
      <c r="CBJ62" s="33"/>
      <c r="CBT62" s="33"/>
      <c r="CCD62" s="33"/>
      <c r="CCN62" s="33"/>
      <c r="CCX62" s="33"/>
      <c r="CDH62" s="33"/>
      <c r="CDR62" s="33"/>
      <c r="CEB62" s="33"/>
      <c r="CEL62" s="33"/>
      <c r="CEV62" s="33"/>
      <c r="CFF62" s="33"/>
      <c r="CFP62" s="33"/>
      <c r="CFZ62" s="33"/>
      <c r="CGJ62" s="33"/>
      <c r="CGT62" s="33"/>
      <c r="CHD62" s="33"/>
      <c r="CHN62" s="33"/>
      <c r="CHX62" s="33"/>
      <c r="CIH62" s="33"/>
      <c r="CIR62" s="33"/>
      <c r="CJB62" s="33"/>
      <c r="CJL62" s="33"/>
      <c r="CJV62" s="33"/>
      <c r="CKF62" s="33"/>
      <c r="CKP62" s="33"/>
      <c r="CKZ62" s="33"/>
      <c r="CLJ62" s="33"/>
      <c r="CLT62" s="33"/>
      <c r="CMD62" s="33"/>
      <c r="CMN62" s="33"/>
      <c r="CMX62" s="33"/>
      <c r="CNH62" s="33"/>
      <c r="CNR62" s="33"/>
      <c r="COB62" s="33"/>
      <c r="COL62" s="33"/>
      <c r="COV62" s="33"/>
      <c r="CPF62" s="33"/>
      <c r="CPP62" s="33"/>
      <c r="CPZ62" s="33"/>
      <c r="CQJ62" s="33"/>
      <c r="CQT62" s="33"/>
      <c r="CRD62" s="33"/>
      <c r="CRN62" s="33"/>
      <c r="CRX62" s="33"/>
      <c r="CSH62" s="33"/>
      <c r="CSR62" s="33"/>
      <c r="CTB62" s="33"/>
      <c r="CTL62" s="33"/>
      <c r="CTV62" s="33"/>
    </row>
    <row r="63" s="16" customFormat="1" customHeight="1" spans="1:1020 1030:2040 2050:2570">
      <c r="A63" s="57"/>
      <c r="B63" s="52"/>
      <c r="C63" s="52"/>
      <c r="D63" s="52"/>
      <c r="E63" s="52"/>
      <c r="F63" s="58" t="str">
        <f>IFERROR(VLOOKUP(E63,日报!E:G,2,0),"")</f>
        <v/>
      </c>
      <c r="G63" s="52"/>
      <c r="H63" s="53" t="str">
        <f>IFERROR(VLOOKUP(E63,基础数据!$E$4:$H$4,4,0),"")</f>
        <v/>
      </c>
      <c r="I63" s="53" t="str">
        <f>IFERROR(VLOOKUP(E63,基础数据!$E$4:$H$4,3,0),"")</f>
        <v/>
      </c>
      <c r="J63" s="52"/>
      <c r="K63" s="54" t="str">
        <f t="shared" si="1"/>
        <v/>
      </c>
      <c r="T63" s="33"/>
      <c r="AD63" s="33"/>
      <c r="AN63" s="33"/>
      <c r="AX63" s="33"/>
      <c r="BH63" s="33"/>
      <c r="BR63" s="33"/>
      <c r="CB63" s="33"/>
      <c r="CL63" s="33"/>
      <c r="CV63" s="33"/>
      <c r="DF63" s="33"/>
      <c r="DP63" s="33"/>
      <c r="DZ63" s="33"/>
      <c r="EJ63" s="33"/>
      <c r="ET63" s="33"/>
      <c r="FD63" s="33"/>
      <c r="FN63" s="33"/>
      <c r="FX63" s="33"/>
      <c r="GH63" s="33"/>
      <c r="GR63" s="33"/>
      <c r="HB63" s="33"/>
      <c r="HL63" s="33"/>
      <c r="HV63" s="33"/>
      <c r="IF63" s="33"/>
      <c r="IP63" s="33"/>
      <c r="IZ63" s="33"/>
      <c r="JJ63" s="33"/>
      <c r="JT63" s="33"/>
      <c r="KD63" s="33"/>
      <c r="KN63" s="33"/>
      <c r="KX63" s="33"/>
      <c r="LH63" s="33"/>
      <c r="LR63" s="33"/>
      <c r="MB63" s="33"/>
      <c r="ML63" s="33"/>
      <c r="MV63" s="33"/>
      <c r="NF63" s="33"/>
      <c r="NP63" s="33"/>
      <c r="NZ63" s="33"/>
      <c r="OJ63" s="33"/>
      <c r="OT63" s="33"/>
      <c r="PD63" s="33"/>
      <c r="PN63" s="33"/>
      <c r="PX63" s="33"/>
      <c r="QH63" s="33"/>
      <c r="QR63" s="33"/>
      <c r="RB63" s="33"/>
      <c r="RL63" s="33"/>
      <c r="RV63" s="33"/>
      <c r="SF63" s="33"/>
      <c r="SP63" s="33"/>
      <c r="SZ63" s="33"/>
      <c r="TJ63" s="33"/>
      <c r="TT63" s="33"/>
      <c r="UD63" s="33"/>
      <c r="UN63" s="33"/>
      <c r="UX63" s="33"/>
      <c r="VH63" s="33"/>
      <c r="VR63" s="33"/>
      <c r="WB63" s="33"/>
      <c r="WL63" s="33"/>
      <c r="WV63" s="33"/>
      <c r="XF63" s="33"/>
      <c r="XP63" s="33"/>
      <c r="XZ63" s="33"/>
      <c r="YJ63" s="33"/>
      <c r="YT63" s="33"/>
      <c r="ZD63" s="33"/>
      <c r="ZN63" s="33"/>
      <c r="ZX63" s="33"/>
      <c r="AAH63" s="33"/>
      <c r="AAR63" s="33"/>
      <c r="ABB63" s="33"/>
      <c r="ABL63" s="33"/>
      <c r="ABV63" s="33"/>
      <c r="ACF63" s="33"/>
      <c r="ACP63" s="33"/>
      <c r="ACZ63" s="33"/>
      <c r="ADJ63" s="33"/>
      <c r="ADT63" s="33"/>
      <c r="AED63" s="33"/>
      <c r="AEN63" s="33"/>
      <c r="AEX63" s="33"/>
      <c r="AFH63" s="33"/>
      <c r="AFR63" s="33"/>
      <c r="AGB63" s="33"/>
      <c r="AGL63" s="33"/>
      <c r="AGV63" s="33"/>
      <c r="AHF63" s="33"/>
      <c r="AHP63" s="33"/>
      <c r="AHZ63" s="33"/>
      <c r="AIJ63" s="33"/>
      <c r="AIT63" s="33"/>
      <c r="AJD63" s="33"/>
      <c r="AJN63" s="33"/>
      <c r="AJX63" s="33"/>
      <c r="AKH63" s="33"/>
      <c r="AKR63" s="33"/>
      <c r="ALB63" s="33"/>
      <c r="ALL63" s="33"/>
      <c r="ALV63" s="33"/>
      <c r="AMF63" s="33"/>
      <c r="AMP63" s="33"/>
      <c r="AMZ63" s="33"/>
      <c r="ANJ63" s="33"/>
      <c r="ANT63" s="33"/>
      <c r="AOD63" s="33"/>
      <c r="AON63" s="33"/>
      <c r="AOX63" s="33"/>
      <c r="APH63" s="33"/>
      <c r="APR63" s="33"/>
      <c r="AQB63" s="33"/>
      <c r="AQL63" s="33"/>
      <c r="AQV63" s="33"/>
      <c r="ARF63" s="33"/>
      <c r="ARP63" s="33"/>
      <c r="ARZ63" s="33"/>
      <c r="ASJ63" s="33"/>
      <c r="AST63" s="33"/>
      <c r="ATD63" s="33"/>
      <c r="ATN63" s="33"/>
      <c r="ATX63" s="33"/>
      <c r="AUH63" s="33"/>
      <c r="AUR63" s="33"/>
      <c r="AVB63" s="33"/>
      <c r="AVL63" s="33"/>
      <c r="AVV63" s="33"/>
      <c r="AWF63" s="33"/>
      <c r="AWP63" s="33"/>
      <c r="AWZ63" s="33"/>
      <c r="AXJ63" s="33"/>
      <c r="AXT63" s="33"/>
      <c r="AYD63" s="33"/>
      <c r="AYN63" s="33"/>
      <c r="AYX63" s="33"/>
      <c r="AZH63" s="33"/>
      <c r="AZR63" s="33"/>
      <c r="BAB63" s="33"/>
      <c r="BAL63" s="33"/>
      <c r="BAV63" s="33"/>
      <c r="BBF63" s="33"/>
      <c r="BBP63" s="33"/>
      <c r="BBZ63" s="33"/>
      <c r="BCJ63" s="33"/>
      <c r="BCT63" s="33"/>
      <c r="BDD63" s="33"/>
      <c r="BDN63" s="33"/>
      <c r="BDX63" s="33"/>
      <c r="BEH63" s="33"/>
      <c r="BER63" s="33"/>
      <c r="BFB63" s="33"/>
      <c r="BFL63" s="33"/>
      <c r="BFV63" s="33"/>
      <c r="BGF63" s="33"/>
      <c r="BGP63" s="33"/>
      <c r="BGZ63" s="33"/>
      <c r="BHJ63" s="33"/>
      <c r="BHT63" s="33"/>
      <c r="BID63" s="33"/>
      <c r="BIN63" s="33"/>
      <c r="BIX63" s="33"/>
      <c r="BJH63" s="33"/>
      <c r="BJR63" s="33"/>
      <c r="BKB63" s="33"/>
      <c r="BKL63" s="33"/>
      <c r="BKV63" s="33"/>
      <c r="BLF63" s="33"/>
      <c r="BLP63" s="33"/>
      <c r="BLZ63" s="33"/>
      <c r="BMJ63" s="33"/>
      <c r="BMT63" s="33"/>
      <c r="BND63" s="33"/>
      <c r="BNN63" s="33"/>
      <c r="BNX63" s="33"/>
      <c r="BOH63" s="33"/>
      <c r="BOR63" s="33"/>
      <c r="BPB63" s="33"/>
      <c r="BPL63" s="33"/>
      <c r="BPV63" s="33"/>
      <c r="BQF63" s="33"/>
      <c r="BQP63" s="33"/>
      <c r="BQZ63" s="33"/>
      <c r="BRJ63" s="33"/>
      <c r="BRT63" s="33"/>
      <c r="BSD63" s="33"/>
      <c r="BSN63" s="33"/>
      <c r="BSX63" s="33"/>
      <c r="BTH63" s="33"/>
      <c r="BTR63" s="33"/>
      <c r="BUB63" s="33"/>
      <c r="BUL63" s="33"/>
      <c r="BUV63" s="33"/>
      <c r="BVF63" s="33"/>
      <c r="BVP63" s="33"/>
      <c r="BVZ63" s="33"/>
      <c r="BWJ63" s="33"/>
      <c r="BWT63" s="33"/>
      <c r="BXD63" s="33"/>
      <c r="BXN63" s="33"/>
      <c r="BXX63" s="33"/>
      <c r="BYH63" s="33"/>
      <c r="BYR63" s="33"/>
      <c r="BZB63" s="33"/>
      <c r="BZL63" s="33"/>
      <c r="BZV63" s="33"/>
      <c r="CAF63" s="33"/>
      <c r="CAP63" s="33"/>
      <c r="CAZ63" s="33"/>
      <c r="CBJ63" s="33"/>
      <c r="CBT63" s="33"/>
      <c r="CCD63" s="33"/>
      <c r="CCN63" s="33"/>
      <c r="CCX63" s="33"/>
      <c r="CDH63" s="33"/>
      <c r="CDR63" s="33"/>
      <c r="CEB63" s="33"/>
      <c r="CEL63" s="33"/>
      <c r="CEV63" s="33"/>
      <c r="CFF63" s="33"/>
      <c r="CFP63" s="33"/>
      <c r="CFZ63" s="33"/>
      <c r="CGJ63" s="33"/>
      <c r="CGT63" s="33"/>
      <c r="CHD63" s="33"/>
      <c r="CHN63" s="33"/>
      <c r="CHX63" s="33"/>
      <c r="CIH63" s="33"/>
      <c r="CIR63" s="33"/>
      <c r="CJB63" s="33"/>
      <c r="CJL63" s="33"/>
      <c r="CJV63" s="33"/>
      <c r="CKF63" s="33"/>
      <c r="CKP63" s="33"/>
      <c r="CKZ63" s="33"/>
      <c r="CLJ63" s="33"/>
      <c r="CLT63" s="33"/>
      <c r="CMD63" s="33"/>
      <c r="CMN63" s="33"/>
      <c r="CMX63" s="33"/>
      <c r="CNH63" s="33"/>
      <c r="CNR63" s="33"/>
      <c r="COB63" s="33"/>
      <c r="COL63" s="33"/>
      <c r="COV63" s="33"/>
      <c r="CPF63" s="33"/>
      <c r="CPP63" s="33"/>
      <c r="CPZ63" s="33"/>
      <c r="CQJ63" s="33"/>
      <c r="CQT63" s="33"/>
      <c r="CRD63" s="33"/>
      <c r="CRN63" s="33"/>
      <c r="CRX63" s="33"/>
      <c r="CSH63" s="33"/>
      <c r="CSR63" s="33"/>
      <c r="CTB63" s="33"/>
      <c r="CTL63" s="33"/>
      <c r="CTV63" s="33"/>
    </row>
    <row r="64" s="16" customFormat="1" customHeight="1" spans="1:1020 1030:2040 2050:2570">
      <c r="A64" s="57"/>
      <c r="B64" s="52"/>
      <c r="C64" s="52"/>
      <c r="D64" s="52"/>
      <c r="E64" s="52"/>
      <c r="F64" s="58" t="str">
        <f>IFERROR(VLOOKUP(E64,日报!E:G,2,0),"")</f>
        <v/>
      </c>
      <c r="G64" s="52"/>
      <c r="H64" s="53" t="str">
        <f>IFERROR(VLOOKUP(E64,基础数据!$E$4:$H$4,4,0),"")</f>
        <v/>
      </c>
      <c r="I64" s="53" t="str">
        <f>IFERROR(VLOOKUP(E64,基础数据!$E$4:$H$4,3,0),"")</f>
        <v/>
      </c>
      <c r="J64" s="52"/>
      <c r="K64" s="54" t="str">
        <f t="shared" si="1"/>
        <v/>
      </c>
      <c r="T64" s="33"/>
      <c r="AD64" s="33"/>
      <c r="AN64" s="33"/>
      <c r="AX64" s="33"/>
      <c r="BH64" s="33"/>
      <c r="BR64" s="33"/>
      <c r="CB64" s="33"/>
      <c r="CL64" s="33"/>
      <c r="CV64" s="33"/>
      <c r="DF64" s="33"/>
      <c r="DP64" s="33"/>
      <c r="DZ64" s="33"/>
      <c r="EJ64" s="33"/>
      <c r="ET64" s="33"/>
      <c r="FD64" s="33"/>
      <c r="FN64" s="33"/>
      <c r="FX64" s="33"/>
      <c r="GH64" s="33"/>
      <c r="GR64" s="33"/>
      <c r="HB64" s="33"/>
      <c r="HL64" s="33"/>
      <c r="HV64" s="33"/>
      <c r="IF64" s="33"/>
      <c r="IP64" s="33"/>
      <c r="IZ64" s="33"/>
      <c r="JJ64" s="33"/>
      <c r="JT64" s="33"/>
      <c r="KD64" s="33"/>
      <c r="KN64" s="33"/>
      <c r="KX64" s="33"/>
      <c r="LH64" s="33"/>
      <c r="LR64" s="33"/>
      <c r="MB64" s="33"/>
      <c r="ML64" s="33"/>
      <c r="MV64" s="33"/>
      <c r="NF64" s="33"/>
      <c r="NP64" s="33"/>
      <c r="NZ64" s="33"/>
      <c r="OJ64" s="33"/>
      <c r="OT64" s="33"/>
      <c r="PD64" s="33"/>
      <c r="PN64" s="33"/>
      <c r="PX64" s="33"/>
      <c r="QH64" s="33"/>
      <c r="QR64" s="33"/>
      <c r="RB64" s="33"/>
      <c r="RL64" s="33"/>
      <c r="RV64" s="33"/>
      <c r="SF64" s="33"/>
      <c r="SP64" s="33"/>
      <c r="SZ64" s="33"/>
      <c r="TJ64" s="33"/>
      <c r="TT64" s="33"/>
      <c r="UD64" s="33"/>
      <c r="UN64" s="33"/>
      <c r="UX64" s="33"/>
      <c r="VH64" s="33"/>
      <c r="VR64" s="33"/>
      <c r="WB64" s="33"/>
      <c r="WL64" s="33"/>
      <c r="WV64" s="33"/>
      <c r="XF64" s="33"/>
      <c r="XP64" s="33"/>
      <c r="XZ64" s="33"/>
      <c r="YJ64" s="33"/>
      <c r="YT64" s="33"/>
      <c r="ZD64" s="33"/>
      <c r="ZN64" s="33"/>
      <c r="ZX64" s="33"/>
      <c r="AAH64" s="33"/>
      <c r="AAR64" s="33"/>
      <c r="ABB64" s="33"/>
      <c r="ABL64" s="33"/>
      <c r="ABV64" s="33"/>
      <c r="ACF64" s="33"/>
      <c r="ACP64" s="33"/>
      <c r="ACZ64" s="33"/>
      <c r="ADJ64" s="33"/>
      <c r="ADT64" s="33"/>
      <c r="AED64" s="33"/>
      <c r="AEN64" s="33"/>
      <c r="AEX64" s="33"/>
      <c r="AFH64" s="33"/>
      <c r="AFR64" s="33"/>
      <c r="AGB64" s="33"/>
      <c r="AGL64" s="33"/>
      <c r="AGV64" s="33"/>
      <c r="AHF64" s="33"/>
      <c r="AHP64" s="33"/>
      <c r="AHZ64" s="33"/>
      <c r="AIJ64" s="33"/>
      <c r="AIT64" s="33"/>
      <c r="AJD64" s="33"/>
      <c r="AJN64" s="33"/>
      <c r="AJX64" s="33"/>
      <c r="AKH64" s="33"/>
      <c r="AKR64" s="33"/>
      <c r="ALB64" s="33"/>
      <c r="ALL64" s="33"/>
      <c r="ALV64" s="33"/>
      <c r="AMF64" s="33"/>
      <c r="AMP64" s="33"/>
      <c r="AMZ64" s="33"/>
      <c r="ANJ64" s="33"/>
      <c r="ANT64" s="33"/>
      <c r="AOD64" s="33"/>
      <c r="AON64" s="33"/>
      <c r="AOX64" s="33"/>
      <c r="APH64" s="33"/>
      <c r="APR64" s="33"/>
      <c r="AQB64" s="33"/>
      <c r="AQL64" s="33"/>
      <c r="AQV64" s="33"/>
      <c r="ARF64" s="33"/>
      <c r="ARP64" s="33"/>
      <c r="ARZ64" s="33"/>
      <c r="ASJ64" s="33"/>
      <c r="AST64" s="33"/>
      <c r="ATD64" s="33"/>
      <c r="ATN64" s="33"/>
      <c r="ATX64" s="33"/>
      <c r="AUH64" s="33"/>
      <c r="AUR64" s="33"/>
      <c r="AVB64" s="33"/>
      <c r="AVL64" s="33"/>
      <c r="AVV64" s="33"/>
      <c r="AWF64" s="33"/>
      <c r="AWP64" s="33"/>
      <c r="AWZ64" s="33"/>
      <c r="AXJ64" s="33"/>
      <c r="AXT64" s="33"/>
      <c r="AYD64" s="33"/>
      <c r="AYN64" s="33"/>
      <c r="AYX64" s="33"/>
      <c r="AZH64" s="33"/>
      <c r="AZR64" s="33"/>
      <c r="BAB64" s="33"/>
      <c r="BAL64" s="33"/>
      <c r="BAV64" s="33"/>
      <c r="BBF64" s="33"/>
      <c r="BBP64" s="33"/>
      <c r="BBZ64" s="33"/>
      <c r="BCJ64" s="33"/>
      <c r="BCT64" s="33"/>
      <c r="BDD64" s="33"/>
      <c r="BDN64" s="33"/>
      <c r="BDX64" s="33"/>
      <c r="BEH64" s="33"/>
      <c r="BER64" s="33"/>
      <c r="BFB64" s="33"/>
      <c r="BFL64" s="33"/>
      <c r="BFV64" s="33"/>
      <c r="BGF64" s="33"/>
      <c r="BGP64" s="33"/>
      <c r="BGZ64" s="33"/>
      <c r="BHJ64" s="33"/>
      <c r="BHT64" s="33"/>
      <c r="BID64" s="33"/>
      <c r="BIN64" s="33"/>
      <c r="BIX64" s="33"/>
      <c r="BJH64" s="33"/>
      <c r="BJR64" s="33"/>
      <c r="BKB64" s="33"/>
      <c r="BKL64" s="33"/>
      <c r="BKV64" s="33"/>
      <c r="BLF64" s="33"/>
      <c r="BLP64" s="33"/>
      <c r="BLZ64" s="33"/>
      <c r="BMJ64" s="33"/>
      <c r="BMT64" s="33"/>
      <c r="BND64" s="33"/>
      <c r="BNN64" s="33"/>
      <c r="BNX64" s="33"/>
      <c r="BOH64" s="33"/>
      <c r="BOR64" s="33"/>
      <c r="BPB64" s="33"/>
      <c r="BPL64" s="33"/>
      <c r="BPV64" s="33"/>
      <c r="BQF64" s="33"/>
      <c r="BQP64" s="33"/>
      <c r="BQZ64" s="33"/>
      <c r="BRJ64" s="33"/>
      <c r="BRT64" s="33"/>
      <c r="BSD64" s="33"/>
      <c r="BSN64" s="33"/>
      <c r="BSX64" s="33"/>
      <c r="BTH64" s="33"/>
      <c r="BTR64" s="33"/>
      <c r="BUB64" s="33"/>
      <c r="BUL64" s="33"/>
      <c r="BUV64" s="33"/>
      <c r="BVF64" s="33"/>
      <c r="BVP64" s="33"/>
      <c r="BVZ64" s="33"/>
      <c r="BWJ64" s="33"/>
      <c r="BWT64" s="33"/>
      <c r="BXD64" s="33"/>
      <c r="BXN64" s="33"/>
      <c r="BXX64" s="33"/>
      <c r="BYH64" s="33"/>
      <c r="BYR64" s="33"/>
      <c r="BZB64" s="33"/>
      <c r="BZL64" s="33"/>
      <c r="BZV64" s="33"/>
      <c r="CAF64" s="33"/>
      <c r="CAP64" s="33"/>
      <c r="CAZ64" s="33"/>
      <c r="CBJ64" s="33"/>
      <c r="CBT64" s="33"/>
      <c r="CCD64" s="33"/>
      <c r="CCN64" s="33"/>
      <c r="CCX64" s="33"/>
      <c r="CDH64" s="33"/>
      <c r="CDR64" s="33"/>
      <c r="CEB64" s="33"/>
      <c r="CEL64" s="33"/>
      <c r="CEV64" s="33"/>
      <c r="CFF64" s="33"/>
      <c r="CFP64" s="33"/>
      <c r="CFZ64" s="33"/>
      <c r="CGJ64" s="33"/>
      <c r="CGT64" s="33"/>
      <c r="CHD64" s="33"/>
      <c r="CHN64" s="33"/>
      <c r="CHX64" s="33"/>
      <c r="CIH64" s="33"/>
      <c r="CIR64" s="33"/>
      <c r="CJB64" s="33"/>
      <c r="CJL64" s="33"/>
      <c r="CJV64" s="33"/>
      <c r="CKF64" s="33"/>
      <c r="CKP64" s="33"/>
      <c r="CKZ64" s="33"/>
      <c r="CLJ64" s="33"/>
      <c r="CLT64" s="33"/>
      <c r="CMD64" s="33"/>
      <c r="CMN64" s="33"/>
      <c r="CMX64" s="33"/>
      <c r="CNH64" s="33"/>
      <c r="CNR64" s="33"/>
      <c r="COB64" s="33"/>
      <c r="COL64" s="33"/>
      <c r="COV64" s="33"/>
      <c r="CPF64" s="33"/>
      <c r="CPP64" s="33"/>
      <c r="CPZ64" s="33"/>
      <c r="CQJ64" s="33"/>
      <c r="CQT64" s="33"/>
      <c r="CRD64" s="33"/>
      <c r="CRN64" s="33"/>
      <c r="CRX64" s="33"/>
      <c r="CSH64" s="33"/>
      <c r="CSR64" s="33"/>
      <c r="CTB64" s="33"/>
      <c r="CTL64" s="33"/>
      <c r="CTV64" s="33"/>
    </row>
    <row r="65" s="16" customFormat="1" customHeight="1" spans="1:1020 1030:2040 2050:2570">
      <c r="A65" s="57"/>
      <c r="B65" s="52"/>
      <c r="C65" s="52"/>
      <c r="D65" s="52"/>
      <c r="E65" s="52"/>
      <c r="F65" s="58" t="str">
        <f>IFERROR(VLOOKUP(E65,日报!E:G,2,0),"")</f>
        <v/>
      </c>
      <c r="G65" s="52"/>
      <c r="H65" s="53" t="str">
        <f>IFERROR(VLOOKUP(E65,基础数据!$E$4:$H$4,4,0),"")</f>
        <v/>
      </c>
      <c r="I65" s="53" t="str">
        <f>IFERROR(VLOOKUP(E65,基础数据!$E$4:$H$4,3,0),"")</f>
        <v/>
      </c>
      <c r="J65" s="52"/>
      <c r="K65" s="54" t="str">
        <f t="shared" si="1"/>
        <v/>
      </c>
      <c r="T65" s="33"/>
      <c r="AD65" s="33"/>
      <c r="AN65" s="33"/>
      <c r="AX65" s="33"/>
      <c r="BH65" s="33"/>
      <c r="BR65" s="33"/>
      <c r="CB65" s="33"/>
      <c r="CL65" s="33"/>
      <c r="CV65" s="33"/>
      <c r="DF65" s="33"/>
      <c r="DP65" s="33"/>
      <c r="DZ65" s="33"/>
      <c r="EJ65" s="33"/>
      <c r="ET65" s="33"/>
      <c r="FD65" s="33"/>
      <c r="FN65" s="33"/>
      <c r="FX65" s="33"/>
      <c r="GH65" s="33"/>
      <c r="GR65" s="33"/>
      <c r="HB65" s="33"/>
      <c r="HL65" s="33"/>
      <c r="HV65" s="33"/>
      <c r="IF65" s="33"/>
      <c r="IP65" s="33"/>
      <c r="IZ65" s="33"/>
      <c r="JJ65" s="33"/>
      <c r="JT65" s="33"/>
      <c r="KD65" s="33"/>
      <c r="KN65" s="33"/>
      <c r="KX65" s="33"/>
      <c r="LH65" s="33"/>
      <c r="LR65" s="33"/>
      <c r="MB65" s="33"/>
      <c r="ML65" s="33"/>
      <c r="MV65" s="33"/>
      <c r="NF65" s="33"/>
      <c r="NP65" s="33"/>
      <c r="NZ65" s="33"/>
      <c r="OJ65" s="33"/>
      <c r="OT65" s="33"/>
      <c r="PD65" s="33"/>
      <c r="PN65" s="33"/>
      <c r="PX65" s="33"/>
      <c r="QH65" s="33"/>
      <c r="QR65" s="33"/>
      <c r="RB65" s="33"/>
      <c r="RL65" s="33"/>
      <c r="RV65" s="33"/>
      <c r="SF65" s="33"/>
      <c r="SP65" s="33"/>
      <c r="SZ65" s="33"/>
      <c r="TJ65" s="33"/>
      <c r="TT65" s="33"/>
      <c r="UD65" s="33"/>
      <c r="UN65" s="33"/>
      <c r="UX65" s="33"/>
      <c r="VH65" s="33"/>
      <c r="VR65" s="33"/>
      <c r="WB65" s="33"/>
      <c r="WL65" s="33"/>
      <c r="WV65" s="33"/>
      <c r="XF65" s="33"/>
      <c r="XP65" s="33"/>
      <c r="XZ65" s="33"/>
      <c r="YJ65" s="33"/>
      <c r="YT65" s="33"/>
      <c r="ZD65" s="33"/>
      <c r="ZN65" s="33"/>
      <c r="ZX65" s="33"/>
      <c r="AAH65" s="33"/>
      <c r="AAR65" s="33"/>
      <c r="ABB65" s="33"/>
      <c r="ABL65" s="33"/>
      <c r="ABV65" s="33"/>
      <c r="ACF65" s="33"/>
      <c r="ACP65" s="33"/>
      <c r="ACZ65" s="33"/>
      <c r="ADJ65" s="33"/>
      <c r="ADT65" s="33"/>
      <c r="AED65" s="33"/>
      <c r="AEN65" s="33"/>
      <c r="AEX65" s="33"/>
      <c r="AFH65" s="33"/>
      <c r="AFR65" s="33"/>
      <c r="AGB65" s="33"/>
      <c r="AGL65" s="33"/>
      <c r="AGV65" s="33"/>
      <c r="AHF65" s="33"/>
      <c r="AHP65" s="33"/>
      <c r="AHZ65" s="33"/>
      <c r="AIJ65" s="33"/>
      <c r="AIT65" s="33"/>
      <c r="AJD65" s="33"/>
      <c r="AJN65" s="33"/>
      <c r="AJX65" s="33"/>
      <c r="AKH65" s="33"/>
      <c r="AKR65" s="33"/>
      <c r="ALB65" s="33"/>
      <c r="ALL65" s="33"/>
      <c r="ALV65" s="33"/>
      <c r="AMF65" s="33"/>
      <c r="AMP65" s="33"/>
      <c r="AMZ65" s="33"/>
      <c r="ANJ65" s="33"/>
      <c r="ANT65" s="33"/>
      <c r="AOD65" s="33"/>
      <c r="AON65" s="33"/>
      <c r="AOX65" s="33"/>
      <c r="APH65" s="33"/>
      <c r="APR65" s="33"/>
      <c r="AQB65" s="33"/>
      <c r="AQL65" s="33"/>
      <c r="AQV65" s="33"/>
      <c r="ARF65" s="33"/>
      <c r="ARP65" s="33"/>
      <c r="ARZ65" s="33"/>
      <c r="ASJ65" s="33"/>
      <c r="AST65" s="33"/>
      <c r="ATD65" s="33"/>
      <c r="ATN65" s="33"/>
      <c r="ATX65" s="33"/>
      <c r="AUH65" s="33"/>
      <c r="AUR65" s="33"/>
      <c r="AVB65" s="33"/>
      <c r="AVL65" s="33"/>
      <c r="AVV65" s="33"/>
      <c r="AWF65" s="33"/>
      <c r="AWP65" s="33"/>
      <c r="AWZ65" s="33"/>
      <c r="AXJ65" s="33"/>
      <c r="AXT65" s="33"/>
      <c r="AYD65" s="33"/>
      <c r="AYN65" s="33"/>
      <c r="AYX65" s="33"/>
      <c r="AZH65" s="33"/>
      <c r="AZR65" s="33"/>
      <c r="BAB65" s="33"/>
      <c r="BAL65" s="33"/>
      <c r="BAV65" s="33"/>
      <c r="BBF65" s="33"/>
      <c r="BBP65" s="33"/>
      <c r="BBZ65" s="33"/>
      <c r="BCJ65" s="33"/>
      <c r="BCT65" s="33"/>
      <c r="BDD65" s="33"/>
      <c r="BDN65" s="33"/>
      <c r="BDX65" s="33"/>
      <c r="BEH65" s="33"/>
      <c r="BER65" s="33"/>
      <c r="BFB65" s="33"/>
      <c r="BFL65" s="33"/>
      <c r="BFV65" s="33"/>
      <c r="BGF65" s="33"/>
      <c r="BGP65" s="33"/>
      <c r="BGZ65" s="33"/>
      <c r="BHJ65" s="33"/>
      <c r="BHT65" s="33"/>
      <c r="BID65" s="33"/>
      <c r="BIN65" s="33"/>
      <c r="BIX65" s="33"/>
      <c r="BJH65" s="33"/>
      <c r="BJR65" s="33"/>
      <c r="BKB65" s="33"/>
      <c r="BKL65" s="33"/>
      <c r="BKV65" s="33"/>
      <c r="BLF65" s="33"/>
      <c r="BLP65" s="33"/>
      <c r="BLZ65" s="33"/>
      <c r="BMJ65" s="33"/>
      <c r="BMT65" s="33"/>
      <c r="BND65" s="33"/>
      <c r="BNN65" s="33"/>
      <c r="BNX65" s="33"/>
      <c r="BOH65" s="33"/>
      <c r="BOR65" s="33"/>
      <c r="BPB65" s="33"/>
      <c r="BPL65" s="33"/>
      <c r="BPV65" s="33"/>
      <c r="BQF65" s="33"/>
      <c r="BQP65" s="33"/>
      <c r="BQZ65" s="33"/>
      <c r="BRJ65" s="33"/>
      <c r="BRT65" s="33"/>
      <c r="BSD65" s="33"/>
      <c r="BSN65" s="33"/>
      <c r="BSX65" s="33"/>
      <c r="BTH65" s="33"/>
      <c r="BTR65" s="33"/>
      <c r="BUB65" s="33"/>
      <c r="BUL65" s="33"/>
      <c r="BUV65" s="33"/>
      <c r="BVF65" s="33"/>
      <c r="BVP65" s="33"/>
      <c r="BVZ65" s="33"/>
      <c r="BWJ65" s="33"/>
      <c r="BWT65" s="33"/>
      <c r="BXD65" s="33"/>
      <c r="BXN65" s="33"/>
      <c r="BXX65" s="33"/>
      <c r="BYH65" s="33"/>
      <c r="BYR65" s="33"/>
      <c r="BZB65" s="33"/>
      <c r="BZL65" s="33"/>
      <c r="BZV65" s="33"/>
      <c r="CAF65" s="33"/>
      <c r="CAP65" s="33"/>
      <c r="CAZ65" s="33"/>
      <c r="CBJ65" s="33"/>
      <c r="CBT65" s="33"/>
      <c r="CCD65" s="33"/>
      <c r="CCN65" s="33"/>
      <c r="CCX65" s="33"/>
      <c r="CDH65" s="33"/>
      <c r="CDR65" s="33"/>
      <c r="CEB65" s="33"/>
      <c r="CEL65" s="33"/>
      <c r="CEV65" s="33"/>
      <c r="CFF65" s="33"/>
      <c r="CFP65" s="33"/>
      <c r="CFZ65" s="33"/>
      <c r="CGJ65" s="33"/>
      <c r="CGT65" s="33"/>
      <c r="CHD65" s="33"/>
      <c r="CHN65" s="33"/>
      <c r="CHX65" s="33"/>
      <c r="CIH65" s="33"/>
      <c r="CIR65" s="33"/>
      <c r="CJB65" s="33"/>
      <c r="CJL65" s="33"/>
      <c r="CJV65" s="33"/>
      <c r="CKF65" s="33"/>
      <c r="CKP65" s="33"/>
      <c r="CKZ65" s="33"/>
      <c r="CLJ65" s="33"/>
      <c r="CLT65" s="33"/>
      <c r="CMD65" s="33"/>
      <c r="CMN65" s="33"/>
      <c r="CMX65" s="33"/>
      <c r="CNH65" s="33"/>
      <c r="CNR65" s="33"/>
      <c r="COB65" s="33"/>
      <c r="COL65" s="33"/>
      <c r="COV65" s="33"/>
      <c r="CPF65" s="33"/>
      <c r="CPP65" s="33"/>
      <c r="CPZ65" s="33"/>
      <c r="CQJ65" s="33"/>
      <c r="CQT65" s="33"/>
      <c r="CRD65" s="33"/>
      <c r="CRN65" s="33"/>
      <c r="CRX65" s="33"/>
      <c r="CSH65" s="33"/>
      <c r="CSR65" s="33"/>
      <c r="CTB65" s="33"/>
      <c r="CTL65" s="33"/>
      <c r="CTV65" s="33"/>
    </row>
    <row r="66" s="16" customFormat="1" customHeight="1" spans="1:1020 1030:2040 2050:2570">
      <c r="A66" s="57"/>
      <c r="B66" s="52"/>
      <c r="C66" s="52"/>
      <c r="D66" s="52"/>
      <c r="E66" s="52"/>
      <c r="F66" s="58" t="str">
        <f>IFERROR(VLOOKUP(E66,日报!E:G,2,0),"")</f>
        <v/>
      </c>
      <c r="G66" s="52"/>
      <c r="H66" s="53" t="str">
        <f>IFERROR(VLOOKUP(E66,基础数据!$E$4:$H$4,4,0),"")</f>
        <v/>
      </c>
      <c r="I66" s="53" t="str">
        <f>IFERROR(VLOOKUP(E66,基础数据!$E$4:$H$4,3,0),"")</f>
        <v/>
      </c>
      <c r="J66" s="52"/>
      <c r="K66" s="54" t="str">
        <f t="shared" si="1"/>
        <v/>
      </c>
      <c r="T66" s="33"/>
      <c r="AD66" s="33"/>
      <c r="AN66" s="33"/>
      <c r="AX66" s="33"/>
      <c r="BH66" s="33"/>
      <c r="BR66" s="33"/>
      <c r="CB66" s="33"/>
      <c r="CL66" s="33"/>
      <c r="CV66" s="33"/>
      <c r="DF66" s="33"/>
      <c r="DP66" s="33"/>
      <c r="DZ66" s="33"/>
      <c r="EJ66" s="33"/>
      <c r="ET66" s="33"/>
      <c r="FD66" s="33"/>
      <c r="FN66" s="33"/>
      <c r="FX66" s="33"/>
      <c r="GH66" s="33"/>
      <c r="GR66" s="33"/>
      <c r="HB66" s="33"/>
      <c r="HL66" s="33"/>
      <c r="HV66" s="33"/>
      <c r="IF66" s="33"/>
      <c r="IP66" s="33"/>
      <c r="IZ66" s="33"/>
      <c r="JJ66" s="33"/>
      <c r="JT66" s="33"/>
      <c r="KD66" s="33"/>
      <c r="KN66" s="33"/>
      <c r="KX66" s="33"/>
      <c r="LH66" s="33"/>
      <c r="LR66" s="33"/>
      <c r="MB66" s="33"/>
      <c r="ML66" s="33"/>
      <c r="MV66" s="33"/>
      <c r="NF66" s="33"/>
      <c r="NP66" s="33"/>
      <c r="NZ66" s="33"/>
      <c r="OJ66" s="33"/>
      <c r="OT66" s="33"/>
      <c r="PD66" s="33"/>
      <c r="PN66" s="33"/>
      <c r="PX66" s="33"/>
      <c r="QH66" s="33"/>
      <c r="QR66" s="33"/>
      <c r="RB66" s="33"/>
      <c r="RL66" s="33"/>
      <c r="RV66" s="33"/>
      <c r="SF66" s="33"/>
      <c r="SP66" s="33"/>
      <c r="SZ66" s="33"/>
      <c r="TJ66" s="33"/>
      <c r="TT66" s="33"/>
      <c r="UD66" s="33"/>
      <c r="UN66" s="33"/>
      <c r="UX66" s="33"/>
      <c r="VH66" s="33"/>
      <c r="VR66" s="33"/>
      <c r="WB66" s="33"/>
      <c r="WL66" s="33"/>
      <c r="WV66" s="33"/>
      <c r="XF66" s="33"/>
      <c r="XP66" s="33"/>
      <c r="XZ66" s="33"/>
      <c r="YJ66" s="33"/>
      <c r="YT66" s="33"/>
      <c r="ZD66" s="33"/>
      <c r="ZN66" s="33"/>
      <c r="ZX66" s="33"/>
      <c r="AAH66" s="33"/>
      <c r="AAR66" s="33"/>
      <c r="ABB66" s="33"/>
      <c r="ABL66" s="33"/>
      <c r="ABV66" s="33"/>
      <c r="ACF66" s="33"/>
      <c r="ACP66" s="33"/>
      <c r="ACZ66" s="33"/>
      <c r="ADJ66" s="33"/>
      <c r="ADT66" s="33"/>
      <c r="AED66" s="33"/>
      <c r="AEN66" s="33"/>
      <c r="AEX66" s="33"/>
      <c r="AFH66" s="33"/>
      <c r="AFR66" s="33"/>
      <c r="AGB66" s="33"/>
      <c r="AGL66" s="33"/>
      <c r="AGV66" s="33"/>
      <c r="AHF66" s="33"/>
      <c r="AHP66" s="33"/>
      <c r="AHZ66" s="33"/>
      <c r="AIJ66" s="33"/>
      <c r="AIT66" s="33"/>
      <c r="AJD66" s="33"/>
      <c r="AJN66" s="33"/>
      <c r="AJX66" s="33"/>
      <c r="AKH66" s="33"/>
      <c r="AKR66" s="33"/>
      <c r="ALB66" s="33"/>
      <c r="ALL66" s="33"/>
      <c r="ALV66" s="33"/>
      <c r="AMF66" s="33"/>
      <c r="AMP66" s="33"/>
      <c r="AMZ66" s="33"/>
      <c r="ANJ66" s="33"/>
      <c r="ANT66" s="33"/>
      <c r="AOD66" s="33"/>
      <c r="AON66" s="33"/>
      <c r="AOX66" s="33"/>
      <c r="APH66" s="33"/>
      <c r="APR66" s="33"/>
      <c r="AQB66" s="33"/>
      <c r="AQL66" s="33"/>
      <c r="AQV66" s="33"/>
      <c r="ARF66" s="33"/>
      <c r="ARP66" s="33"/>
      <c r="ARZ66" s="33"/>
      <c r="ASJ66" s="33"/>
      <c r="AST66" s="33"/>
      <c r="ATD66" s="33"/>
      <c r="ATN66" s="33"/>
      <c r="ATX66" s="33"/>
      <c r="AUH66" s="33"/>
      <c r="AUR66" s="33"/>
      <c r="AVB66" s="33"/>
      <c r="AVL66" s="33"/>
      <c r="AVV66" s="33"/>
      <c r="AWF66" s="33"/>
      <c r="AWP66" s="33"/>
      <c r="AWZ66" s="33"/>
      <c r="AXJ66" s="33"/>
      <c r="AXT66" s="33"/>
      <c r="AYD66" s="33"/>
      <c r="AYN66" s="33"/>
      <c r="AYX66" s="33"/>
      <c r="AZH66" s="33"/>
      <c r="AZR66" s="33"/>
      <c r="BAB66" s="33"/>
      <c r="BAL66" s="33"/>
      <c r="BAV66" s="33"/>
      <c r="BBF66" s="33"/>
      <c r="BBP66" s="33"/>
      <c r="BBZ66" s="33"/>
      <c r="BCJ66" s="33"/>
      <c r="BCT66" s="33"/>
      <c r="BDD66" s="33"/>
      <c r="BDN66" s="33"/>
      <c r="BDX66" s="33"/>
      <c r="BEH66" s="33"/>
      <c r="BER66" s="33"/>
      <c r="BFB66" s="33"/>
      <c r="BFL66" s="33"/>
      <c r="BFV66" s="33"/>
      <c r="BGF66" s="33"/>
      <c r="BGP66" s="33"/>
      <c r="BGZ66" s="33"/>
      <c r="BHJ66" s="33"/>
      <c r="BHT66" s="33"/>
      <c r="BID66" s="33"/>
      <c r="BIN66" s="33"/>
      <c r="BIX66" s="33"/>
      <c r="BJH66" s="33"/>
      <c r="BJR66" s="33"/>
      <c r="BKB66" s="33"/>
      <c r="BKL66" s="33"/>
      <c r="BKV66" s="33"/>
      <c r="BLF66" s="33"/>
      <c r="BLP66" s="33"/>
      <c r="BLZ66" s="33"/>
      <c r="BMJ66" s="33"/>
      <c r="BMT66" s="33"/>
      <c r="BND66" s="33"/>
      <c r="BNN66" s="33"/>
      <c r="BNX66" s="33"/>
      <c r="BOH66" s="33"/>
      <c r="BOR66" s="33"/>
      <c r="BPB66" s="33"/>
      <c r="BPL66" s="33"/>
      <c r="BPV66" s="33"/>
      <c r="BQF66" s="33"/>
      <c r="BQP66" s="33"/>
      <c r="BQZ66" s="33"/>
      <c r="BRJ66" s="33"/>
      <c r="BRT66" s="33"/>
      <c r="BSD66" s="33"/>
      <c r="BSN66" s="33"/>
      <c r="BSX66" s="33"/>
      <c r="BTH66" s="33"/>
      <c r="BTR66" s="33"/>
      <c r="BUB66" s="33"/>
      <c r="BUL66" s="33"/>
      <c r="BUV66" s="33"/>
      <c r="BVF66" s="33"/>
      <c r="BVP66" s="33"/>
      <c r="BVZ66" s="33"/>
      <c r="BWJ66" s="33"/>
      <c r="BWT66" s="33"/>
      <c r="BXD66" s="33"/>
      <c r="BXN66" s="33"/>
      <c r="BXX66" s="33"/>
      <c r="BYH66" s="33"/>
      <c r="BYR66" s="33"/>
      <c r="BZB66" s="33"/>
      <c r="BZL66" s="33"/>
      <c r="BZV66" s="33"/>
      <c r="CAF66" s="33"/>
      <c r="CAP66" s="33"/>
      <c r="CAZ66" s="33"/>
      <c r="CBJ66" s="33"/>
      <c r="CBT66" s="33"/>
      <c r="CCD66" s="33"/>
      <c r="CCN66" s="33"/>
      <c r="CCX66" s="33"/>
      <c r="CDH66" s="33"/>
      <c r="CDR66" s="33"/>
      <c r="CEB66" s="33"/>
      <c r="CEL66" s="33"/>
      <c r="CEV66" s="33"/>
      <c r="CFF66" s="33"/>
      <c r="CFP66" s="33"/>
      <c r="CFZ66" s="33"/>
      <c r="CGJ66" s="33"/>
      <c r="CGT66" s="33"/>
      <c r="CHD66" s="33"/>
      <c r="CHN66" s="33"/>
      <c r="CHX66" s="33"/>
      <c r="CIH66" s="33"/>
      <c r="CIR66" s="33"/>
      <c r="CJB66" s="33"/>
      <c r="CJL66" s="33"/>
      <c r="CJV66" s="33"/>
      <c r="CKF66" s="33"/>
      <c r="CKP66" s="33"/>
      <c r="CKZ66" s="33"/>
      <c r="CLJ66" s="33"/>
      <c r="CLT66" s="33"/>
      <c r="CMD66" s="33"/>
      <c r="CMN66" s="33"/>
      <c r="CMX66" s="33"/>
      <c r="CNH66" s="33"/>
      <c r="CNR66" s="33"/>
      <c r="COB66" s="33"/>
      <c r="COL66" s="33"/>
      <c r="COV66" s="33"/>
      <c r="CPF66" s="33"/>
      <c r="CPP66" s="33"/>
      <c r="CPZ66" s="33"/>
      <c r="CQJ66" s="33"/>
      <c r="CQT66" s="33"/>
      <c r="CRD66" s="33"/>
      <c r="CRN66" s="33"/>
      <c r="CRX66" s="33"/>
      <c r="CSH66" s="33"/>
      <c r="CSR66" s="33"/>
      <c r="CTB66" s="33"/>
      <c r="CTL66" s="33"/>
      <c r="CTV66" s="33"/>
    </row>
    <row r="67" s="16" customFormat="1" customHeight="1" spans="1:1020 1030:2040 2050:2570">
      <c r="A67" s="57"/>
      <c r="B67" s="52"/>
      <c r="C67" s="52"/>
      <c r="D67" s="52"/>
      <c r="E67" s="52"/>
      <c r="F67" s="58" t="str">
        <f>IFERROR(VLOOKUP(E67,日报!E:G,2,0),"")</f>
        <v/>
      </c>
      <c r="G67" s="52"/>
      <c r="H67" s="53" t="str">
        <f>IFERROR(VLOOKUP(E67,基础数据!$E$4:$H$4,4,0),"")</f>
        <v/>
      </c>
      <c r="I67" s="53" t="str">
        <f>IFERROR(VLOOKUP(E67,基础数据!$E$4:$H$4,3,0),"")</f>
        <v/>
      </c>
      <c r="J67" s="52"/>
      <c r="K67" s="54" t="str">
        <f t="shared" si="1"/>
        <v/>
      </c>
      <c r="T67" s="33"/>
      <c r="AD67" s="33"/>
      <c r="AN67" s="33"/>
      <c r="AX67" s="33"/>
      <c r="BH67" s="33"/>
      <c r="BR67" s="33"/>
      <c r="CB67" s="33"/>
      <c r="CL67" s="33"/>
      <c r="CV67" s="33"/>
      <c r="DF67" s="33"/>
      <c r="DP67" s="33"/>
      <c r="DZ67" s="33"/>
      <c r="EJ67" s="33"/>
      <c r="ET67" s="33"/>
      <c r="FD67" s="33"/>
      <c r="FN67" s="33"/>
      <c r="FX67" s="33"/>
      <c r="GH67" s="33"/>
      <c r="GR67" s="33"/>
      <c r="HB67" s="33"/>
      <c r="HL67" s="33"/>
      <c r="HV67" s="33"/>
      <c r="IF67" s="33"/>
      <c r="IP67" s="33"/>
      <c r="IZ67" s="33"/>
      <c r="JJ67" s="33"/>
      <c r="JT67" s="33"/>
      <c r="KD67" s="33"/>
      <c r="KN67" s="33"/>
      <c r="KX67" s="33"/>
      <c r="LH67" s="33"/>
      <c r="LR67" s="33"/>
      <c r="MB67" s="33"/>
      <c r="ML67" s="33"/>
      <c r="MV67" s="33"/>
      <c r="NF67" s="33"/>
      <c r="NP67" s="33"/>
      <c r="NZ67" s="33"/>
      <c r="OJ67" s="33"/>
      <c r="OT67" s="33"/>
      <c r="PD67" s="33"/>
      <c r="PN67" s="33"/>
      <c r="PX67" s="33"/>
      <c r="QH67" s="33"/>
      <c r="QR67" s="33"/>
      <c r="RB67" s="33"/>
      <c r="RL67" s="33"/>
      <c r="RV67" s="33"/>
      <c r="SF67" s="33"/>
      <c r="SP67" s="33"/>
      <c r="SZ67" s="33"/>
      <c r="TJ67" s="33"/>
      <c r="TT67" s="33"/>
      <c r="UD67" s="33"/>
      <c r="UN67" s="33"/>
      <c r="UX67" s="33"/>
      <c r="VH67" s="33"/>
      <c r="VR67" s="33"/>
      <c r="WB67" s="33"/>
      <c r="WL67" s="33"/>
      <c r="WV67" s="33"/>
      <c r="XF67" s="33"/>
      <c r="XP67" s="33"/>
      <c r="XZ67" s="33"/>
      <c r="YJ67" s="33"/>
      <c r="YT67" s="33"/>
      <c r="ZD67" s="33"/>
      <c r="ZN67" s="33"/>
      <c r="ZX67" s="33"/>
      <c r="AAH67" s="33"/>
      <c r="AAR67" s="33"/>
      <c r="ABB67" s="33"/>
      <c r="ABL67" s="33"/>
      <c r="ABV67" s="33"/>
      <c r="ACF67" s="33"/>
      <c r="ACP67" s="33"/>
      <c r="ACZ67" s="33"/>
      <c r="ADJ67" s="33"/>
      <c r="ADT67" s="33"/>
      <c r="AED67" s="33"/>
      <c r="AEN67" s="33"/>
      <c r="AEX67" s="33"/>
      <c r="AFH67" s="33"/>
      <c r="AFR67" s="33"/>
      <c r="AGB67" s="33"/>
      <c r="AGL67" s="33"/>
      <c r="AGV67" s="33"/>
      <c r="AHF67" s="33"/>
      <c r="AHP67" s="33"/>
      <c r="AHZ67" s="33"/>
      <c r="AIJ67" s="33"/>
      <c r="AIT67" s="33"/>
      <c r="AJD67" s="33"/>
      <c r="AJN67" s="33"/>
      <c r="AJX67" s="33"/>
      <c r="AKH67" s="33"/>
      <c r="AKR67" s="33"/>
      <c r="ALB67" s="33"/>
      <c r="ALL67" s="33"/>
      <c r="ALV67" s="33"/>
      <c r="AMF67" s="33"/>
      <c r="AMP67" s="33"/>
      <c r="AMZ67" s="33"/>
      <c r="ANJ67" s="33"/>
      <c r="ANT67" s="33"/>
      <c r="AOD67" s="33"/>
      <c r="AON67" s="33"/>
      <c r="AOX67" s="33"/>
      <c r="APH67" s="33"/>
      <c r="APR67" s="33"/>
      <c r="AQB67" s="33"/>
      <c r="AQL67" s="33"/>
      <c r="AQV67" s="33"/>
      <c r="ARF67" s="33"/>
      <c r="ARP67" s="33"/>
      <c r="ARZ67" s="33"/>
      <c r="ASJ67" s="33"/>
      <c r="AST67" s="33"/>
      <c r="ATD67" s="33"/>
      <c r="ATN67" s="33"/>
      <c r="ATX67" s="33"/>
      <c r="AUH67" s="33"/>
      <c r="AUR67" s="33"/>
      <c r="AVB67" s="33"/>
      <c r="AVL67" s="33"/>
      <c r="AVV67" s="33"/>
      <c r="AWF67" s="33"/>
      <c r="AWP67" s="33"/>
      <c r="AWZ67" s="33"/>
      <c r="AXJ67" s="33"/>
      <c r="AXT67" s="33"/>
      <c r="AYD67" s="33"/>
      <c r="AYN67" s="33"/>
      <c r="AYX67" s="33"/>
      <c r="AZH67" s="33"/>
      <c r="AZR67" s="33"/>
      <c r="BAB67" s="33"/>
      <c r="BAL67" s="33"/>
      <c r="BAV67" s="33"/>
      <c r="BBF67" s="33"/>
      <c r="BBP67" s="33"/>
      <c r="BBZ67" s="33"/>
      <c r="BCJ67" s="33"/>
      <c r="BCT67" s="33"/>
      <c r="BDD67" s="33"/>
      <c r="BDN67" s="33"/>
      <c r="BDX67" s="33"/>
      <c r="BEH67" s="33"/>
      <c r="BER67" s="33"/>
      <c r="BFB67" s="33"/>
      <c r="BFL67" s="33"/>
      <c r="BFV67" s="33"/>
      <c r="BGF67" s="33"/>
      <c r="BGP67" s="33"/>
      <c r="BGZ67" s="33"/>
      <c r="BHJ67" s="33"/>
      <c r="BHT67" s="33"/>
      <c r="BID67" s="33"/>
      <c r="BIN67" s="33"/>
      <c r="BIX67" s="33"/>
      <c r="BJH67" s="33"/>
      <c r="BJR67" s="33"/>
      <c r="BKB67" s="33"/>
      <c r="BKL67" s="33"/>
      <c r="BKV67" s="33"/>
      <c r="BLF67" s="33"/>
      <c r="BLP67" s="33"/>
      <c r="BLZ67" s="33"/>
      <c r="BMJ67" s="33"/>
      <c r="BMT67" s="33"/>
      <c r="BND67" s="33"/>
      <c r="BNN67" s="33"/>
      <c r="BNX67" s="33"/>
      <c r="BOH67" s="33"/>
      <c r="BOR67" s="33"/>
      <c r="BPB67" s="33"/>
      <c r="BPL67" s="33"/>
      <c r="BPV67" s="33"/>
      <c r="BQF67" s="33"/>
      <c r="BQP67" s="33"/>
      <c r="BQZ67" s="33"/>
      <c r="BRJ67" s="33"/>
      <c r="BRT67" s="33"/>
      <c r="BSD67" s="33"/>
      <c r="BSN67" s="33"/>
      <c r="BSX67" s="33"/>
      <c r="BTH67" s="33"/>
      <c r="BTR67" s="33"/>
      <c r="BUB67" s="33"/>
      <c r="BUL67" s="33"/>
      <c r="BUV67" s="33"/>
      <c r="BVF67" s="33"/>
      <c r="BVP67" s="33"/>
      <c r="BVZ67" s="33"/>
      <c r="BWJ67" s="33"/>
      <c r="BWT67" s="33"/>
      <c r="BXD67" s="33"/>
      <c r="BXN67" s="33"/>
      <c r="BXX67" s="33"/>
      <c r="BYH67" s="33"/>
      <c r="BYR67" s="33"/>
      <c r="BZB67" s="33"/>
      <c r="BZL67" s="33"/>
      <c r="BZV67" s="33"/>
      <c r="CAF67" s="33"/>
      <c r="CAP67" s="33"/>
      <c r="CAZ67" s="33"/>
      <c r="CBJ67" s="33"/>
      <c r="CBT67" s="33"/>
      <c r="CCD67" s="33"/>
      <c r="CCN67" s="33"/>
      <c r="CCX67" s="33"/>
      <c r="CDH67" s="33"/>
      <c r="CDR67" s="33"/>
      <c r="CEB67" s="33"/>
      <c r="CEL67" s="33"/>
      <c r="CEV67" s="33"/>
      <c r="CFF67" s="33"/>
      <c r="CFP67" s="33"/>
      <c r="CFZ67" s="33"/>
      <c r="CGJ67" s="33"/>
      <c r="CGT67" s="33"/>
      <c r="CHD67" s="33"/>
      <c r="CHN67" s="33"/>
      <c r="CHX67" s="33"/>
      <c r="CIH67" s="33"/>
      <c r="CIR67" s="33"/>
      <c r="CJB67" s="33"/>
      <c r="CJL67" s="33"/>
      <c r="CJV67" s="33"/>
      <c r="CKF67" s="33"/>
      <c r="CKP67" s="33"/>
      <c r="CKZ67" s="33"/>
      <c r="CLJ67" s="33"/>
      <c r="CLT67" s="33"/>
      <c r="CMD67" s="33"/>
      <c r="CMN67" s="33"/>
      <c r="CMX67" s="33"/>
      <c r="CNH67" s="33"/>
      <c r="CNR67" s="33"/>
      <c r="COB67" s="33"/>
      <c r="COL67" s="33"/>
      <c r="COV67" s="33"/>
      <c r="CPF67" s="33"/>
      <c r="CPP67" s="33"/>
      <c r="CPZ67" s="33"/>
      <c r="CQJ67" s="33"/>
      <c r="CQT67" s="33"/>
      <c r="CRD67" s="33"/>
      <c r="CRN67" s="33"/>
      <c r="CRX67" s="33"/>
      <c r="CSH67" s="33"/>
      <c r="CSR67" s="33"/>
      <c r="CTB67" s="33"/>
      <c r="CTL67" s="33"/>
      <c r="CTV67" s="33"/>
    </row>
    <row r="68" s="16" customFormat="1" customHeight="1" spans="1:1020 1030:2040 2050:2570">
      <c r="A68" s="57"/>
      <c r="B68" s="52"/>
      <c r="C68" s="52"/>
      <c r="D68" s="52"/>
      <c r="E68" s="52"/>
      <c r="F68" s="58" t="str">
        <f>IFERROR(VLOOKUP(E68,日报!E:G,2,0),"")</f>
        <v/>
      </c>
      <c r="G68" s="52"/>
      <c r="H68" s="53" t="str">
        <f>IFERROR(VLOOKUP(E68,基础数据!$E$4:$H$4,4,0),"")</f>
        <v/>
      </c>
      <c r="I68" s="53" t="str">
        <f>IFERROR(VLOOKUP(E68,基础数据!$E$4:$H$4,3,0),"")</f>
        <v/>
      </c>
      <c r="J68" s="52"/>
      <c r="K68" s="54" t="str">
        <f t="shared" si="1"/>
        <v/>
      </c>
      <c r="T68" s="33"/>
      <c r="AD68" s="33"/>
      <c r="AN68" s="33"/>
      <c r="AX68" s="33"/>
      <c r="BH68" s="33"/>
      <c r="BR68" s="33"/>
      <c r="CB68" s="33"/>
      <c r="CL68" s="33"/>
      <c r="CV68" s="33"/>
      <c r="DF68" s="33"/>
      <c r="DP68" s="33"/>
      <c r="DZ68" s="33"/>
      <c r="EJ68" s="33"/>
      <c r="ET68" s="33"/>
      <c r="FD68" s="33"/>
      <c r="FN68" s="33"/>
      <c r="FX68" s="33"/>
      <c r="GH68" s="33"/>
      <c r="GR68" s="33"/>
      <c r="HB68" s="33"/>
      <c r="HL68" s="33"/>
      <c r="HV68" s="33"/>
      <c r="IF68" s="33"/>
      <c r="IP68" s="33"/>
      <c r="IZ68" s="33"/>
      <c r="JJ68" s="33"/>
      <c r="JT68" s="33"/>
      <c r="KD68" s="33"/>
      <c r="KN68" s="33"/>
      <c r="KX68" s="33"/>
      <c r="LH68" s="33"/>
      <c r="LR68" s="33"/>
      <c r="MB68" s="33"/>
      <c r="ML68" s="33"/>
      <c r="MV68" s="33"/>
      <c r="NF68" s="33"/>
      <c r="NP68" s="33"/>
      <c r="NZ68" s="33"/>
      <c r="OJ68" s="33"/>
      <c r="OT68" s="33"/>
      <c r="PD68" s="33"/>
      <c r="PN68" s="33"/>
      <c r="PX68" s="33"/>
      <c r="QH68" s="33"/>
      <c r="QR68" s="33"/>
      <c r="RB68" s="33"/>
      <c r="RL68" s="33"/>
      <c r="RV68" s="33"/>
      <c r="SF68" s="33"/>
      <c r="SP68" s="33"/>
      <c r="SZ68" s="33"/>
      <c r="TJ68" s="33"/>
      <c r="TT68" s="33"/>
      <c r="UD68" s="33"/>
      <c r="UN68" s="33"/>
      <c r="UX68" s="33"/>
      <c r="VH68" s="33"/>
      <c r="VR68" s="33"/>
      <c r="WB68" s="33"/>
      <c r="WL68" s="33"/>
      <c r="WV68" s="33"/>
      <c r="XF68" s="33"/>
      <c r="XP68" s="33"/>
      <c r="XZ68" s="33"/>
      <c r="YJ68" s="33"/>
      <c r="YT68" s="33"/>
      <c r="ZD68" s="33"/>
      <c r="ZN68" s="33"/>
      <c r="ZX68" s="33"/>
      <c r="AAH68" s="33"/>
      <c r="AAR68" s="33"/>
      <c r="ABB68" s="33"/>
      <c r="ABL68" s="33"/>
      <c r="ABV68" s="33"/>
      <c r="ACF68" s="33"/>
      <c r="ACP68" s="33"/>
      <c r="ACZ68" s="33"/>
      <c r="ADJ68" s="33"/>
      <c r="ADT68" s="33"/>
      <c r="AED68" s="33"/>
      <c r="AEN68" s="33"/>
      <c r="AEX68" s="33"/>
      <c r="AFH68" s="33"/>
      <c r="AFR68" s="33"/>
      <c r="AGB68" s="33"/>
      <c r="AGL68" s="33"/>
      <c r="AGV68" s="33"/>
      <c r="AHF68" s="33"/>
      <c r="AHP68" s="33"/>
      <c r="AHZ68" s="33"/>
      <c r="AIJ68" s="33"/>
      <c r="AIT68" s="33"/>
      <c r="AJD68" s="33"/>
      <c r="AJN68" s="33"/>
      <c r="AJX68" s="33"/>
      <c r="AKH68" s="33"/>
      <c r="AKR68" s="33"/>
      <c r="ALB68" s="33"/>
      <c r="ALL68" s="33"/>
      <c r="ALV68" s="33"/>
      <c r="AMF68" s="33"/>
      <c r="AMP68" s="33"/>
      <c r="AMZ68" s="33"/>
      <c r="ANJ68" s="33"/>
      <c r="ANT68" s="33"/>
      <c r="AOD68" s="33"/>
      <c r="AON68" s="33"/>
      <c r="AOX68" s="33"/>
      <c r="APH68" s="33"/>
      <c r="APR68" s="33"/>
      <c r="AQB68" s="33"/>
      <c r="AQL68" s="33"/>
      <c r="AQV68" s="33"/>
      <c r="ARF68" s="33"/>
      <c r="ARP68" s="33"/>
      <c r="ARZ68" s="33"/>
      <c r="ASJ68" s="33"/>
      <c r="AST68" s="33"/>
      <c r="ATD68" s="33"/>
      <c r="ATN68" s="33"/>
      <c r="ATX68" s="33"/>
      <c r="AUH68" s="33"/>
      <c r="AUR68" s="33"/>
      <c r="AVB68" s="33"/>
      <c r="AVL68" s="33"/>
      <c r="AVV68" s="33"/>
      <c r="AWF68" s="33"/>
      <c r="AWP68" s="33"/>
      <c r="AWZ68" s="33"/>
      <c r="AXJ68" s="33"/>
      <c r="AXT68" s="33"/>
      <c r="AYD68" s="33"/>
      <c r="AYN68" s="33"/>
      <c r="AYX68" s="33"/>
      <c r="AZH68" s="33"/>
      <c r="AZR68" s="33"/>
      <c r="BAB68" s="33"/>
      <c r="BAL68" s="33"/>
      <c r="BAV68" s="33"/>
      <c r="BBF68" s="33"/>
      <c r="BBP68" s="33"/>
      <c r="BBZ68" s="33"/>
      <c r="BCJ68" s="33"/>
      <c r="BCT68" s="33"/>
      <c r="BDD68" s="33"/>
      <c r="BDN68" s="33"/>
      <c r="BDX68" s="33"/>
      <c r="BEH68" s="33"/>
      <c r="BER68" s="33"/>
      <c r="BFB68" s="33"/>
      <c r="BFL68" s="33"/>
      <c r="BFV68" s="33"/>
      <c r="BGF68" s="33"/>
      <c r="BGP68" s="33"/>
      <c r="BGZ68" s="33"/>
      <c r="BHJ68" s="33"/>
      <c r="BHT68" s="33"/>
      <c r="BID68" s="33"/>
      <c r="BIN68" s="33"/>
      <c r="BIX68" s="33"/>
      <c r="BJH68" s="33"/>
      <c r="BJR68" s="33"/>
      <c r="BKB68" s="33"/>
      <c r="BKL68" s="33"/>
      <c r="BKV68" s="33"/>
      <c r="BLF68" s="33"/>
      <c r="BLP68" s="33"/>
      <c r="BLZ68" s="33"/>
      <c r="BMJ68" s="33"/>
      <c r="BMT68" s="33"/>
      <c r="BND68" s="33"/>
      <c r="BNN68" s="33"/>
      <c r="BNX68" s="33"/>
      <c r="BOH68" s="33"/>
      <c r="BOR68" s="33"/>
      <c r="BPB68" s="33"/>
      <c r="BPL68" s="33"/>
      <c r="BPV68" s="33"/>
      <c r="BQF68" s="33"/>
      <c r="BQP68" s="33"/>
      <c r="BQZ68" s="33"/>
      <c r="BRJ68" s="33"/>
      <c r="BRT68" s="33"/>
      <c r="BSD68" s="33"/>
      <c r="BSN68" s="33"/>
      <c r="BSX68" s="33"/>
      <c r="BTH68" s="33"/>
      <c r="BTR68" s="33"/>
      <c r="BUB68" s="33"/>
      <c r="BUL68" s="33"/>
      <c r="BUV68" s="33"/>
      <c r="BVF68" s="33"/>
      <c r="BVP68" s="33"/>
      <c r="BVZ68" s="33"/>
      <c r="BWJ68" s="33"/>
      <c r="BWT68" s="33"/>
      <c r="BXD68" s="33"/>
      <c r="BXN68" s="33"/>
      <c r="BXX68" s="33"/>
      <c r="BYH68" s="33"/>
      <c r="BYR68" s="33"/>
      <c r="BZB68" s="33"/>
      <c r="BZL68" s="33"/>
      <c r="BZV68" s="33"/>
      <c r="CAF68" s="33"/>
      <c r="CAP68" s="33"/>
      <c r="CAZ68" s="33"/>
      <c r="CBJ68" s="33"/>
      <c r="CBT68" s="33"/>
      <c r="CCD68" s="33"/>
      <c r="CCN68" s="33"/>
      <c r="CCX68" s="33"/>
      <c r="CDH68" s="33"/>
      <c r="CDR68" s="33"/>
      <c r="CEB68" s="33"/>
      <c r="CEL68" s="33"/>
      <c r="CEV68" s="33"/>
      <c r="CFF68" s="33"/>
      <c r="CFP68" s="33"/>
      <c r="CFZ68" s="33"/>
      <c r="CGJ68" s="33"/>
      <c r="CGT68" s="33"/>
      <c r="CHD68" s="33"/>
      <c r="CHN68" s="33"/>
      <c r="CHX68" s="33"/>
      <c r="CIH68" s="33"/>
      <c r="CIR68" s="33"/>
      <c r="CJB68" s="33"/>
      <c r="CJL68" s="33"/>
      <c r="CJV68" s="33"/>
      <c r="CKF68" s="33"/>
      <c r="CKP68" s="33"/>
      <c r="CKZ68" s="33"/>
      <c r="CLJ68" s="33"/>
      <c r="CLT68" s="33"/>
      <c r="CMD68" s="33"/>
      <c r="CMN68" s="33"/>
      <c r="CMX68" s="33"/>
      <c r="CNH68" s="33"/>
      <c r="CNR68" s="33"/>
      <c r="COB68" s="33"/>
      <c r="COL68" s="33"/>
      <c r="COV68" s="33"/>
      <c r="CPF68" s="33"/>
      <c r="CPP68" s="33"/>
      <c r="CPZ68" s="33"/>
      <c r="CQJ68" s="33"/>
      <c r="CQT68" s="33"/>
      <c r="CRD68" s="33"/>
      <c r="CRN68" s="33"/>
      <c r="CRX68" s="33"/>
      <c r="CSH68" s="33"/>
      <c r="CSR68" s="33"/>
      <c r="CTB68" s="33"/>
      <c r="CTL68" s="33"/>
      <c r="CTV68" s="33"/>
    </row>
    <row r="69" s="16" customFormat="1" customHeight="1" spans="1:1020 1030:2040 2050:2570">
      <c r="A69" s="57"/>
      <c r="B69" s="52"/>
      <c r="C69" s="52"/>
      <c r="D69" s="52"/>
      <c r="E69" s="52"/>
      <c r="F69" s="58" t="str">
        <f>IFERROR(VLOOKUP(E69,日报!E:G,2,0),"")</f>
        <v/>
      </c>
      <c r="G69" s="52"/>
      <c r="H69" s="53" t="str">
        <f>IFERROR(VLOOKUP(E69,基础数据!$E$4:$H$4,4,0),"")</f>
        <v/>
      </c>
      <c r="I69" s="53" t="str">
        <f>IFERROR(VLOOKUP(E69,基础数据!$E$4:$H$4,3,0),"")</f>
        <v/>
      </c>
      <c r="J69" s="52"/>
      <c r="K69" s="54" t="str">
        <f t="shared" si="1"/>
        <v/>
      </c>
      <c r="T69" s="33"/>
      <c r="AD69" s="33"/>
      <c r="AN69" s="33"/>
      <c r="AX69" s="33"/>
      <c r="BH69" s="33"/>
      <c r="BR69" s="33"/>
      <c r="CB69" s="33"/>
      <c r="CL69" s="33"/>
      <c r="CV69" s="33"/>
      <c r="DF69" s="33"/>
      <c r="DP69" s="33"/>
      <c r="DZ69" s="33"/>
      <c r="EJ69" s="33"/>
      <c r="ET69" s="33"/>
      <c r="FD69" s="33"/>
      <c r="FN69" s="33"/>
      <c r="FX69" s="33"/>
      <c r="GH69" s="33"/>
      <c r="GR69" s="33"/>
      <c r="HB69" s="33"/>
      <c r="HL69" s="33"/>
      <c r="HV69" s="33"/>
      <c r="IF69" s="33"/>
      <c r="IP69" s="33"/>
      <c r="IZ69" s="33"/>
      <c r="JJ69" s="33"/>
      <c r="JT69" s="33"/>
      <c r="KD69" s="33"/>
      <c r="KN69" s="33"/>
      <c r="KX69" s="33"/>
      <c r="LH69" s="33"/>
      <c r="LR69" s="33"/>
      <c r="MB69" s="33"/>
      <c r="ML69" s="33"/>
      <c r="MV69" s="33"/>
      <c r="NF69" s="33"/>
      <c r="NP69" s="33"/>
      <c r="NZ69" s="33"/>
      <c r="OJ69" s="33"/>
      <c r="OT69" s="33"/>
      <c r="PD69" s="33"/>
      <c r="PN69" s="33"/>
      <c r="PX69" s="33"/>
      <c r="QH69" s="33"/>
      <c r="QR69" s="33"/>
      <c r="RB69" s="33"/>
      <c r="RL69" s="33"/>
      <c r="RV69" s="33"/>
      <c r="SF69" s="33"/>
      <c r="SP69" s="33"/>
      <c r="SZ69" s="33"/>
      <c r="TJ69" s="33"/>
      <c r="TT69" s="33"/>
      <c r="UD69" s="33"/>
      <c r="UN69" s="33"/>
      <c r="UX69" s="33"/>
      <c r="VH69" s="33"/>
      <c r="VR69" s="33"/>
      <c r="WB69" s="33"/>
      <c r="WL69" s="33"/>
      <c r="WV69" s="33"/>
      <c r="XF69" s="33"/>
      <c r="XP69" s="33"/>
      <c r="XZ69" s="33"/>
      <c r="YJ69" s="33"/>
      <c r="YT69" s="33"/>
      <c r="ZD69" s="33"/>
      <c r="ZN69" s="33"/>
      <c r="ZX69" s="33"/>
      <c r="AAH69" s="33"/>
      <c r="AAR69" s="33"/>
      <c r="ABB69" s="33"/>
      <c r="ABL69" s="33"/>
      <c r="ABV69" s="33"/>
      <c r="ACF69" s="33"/>
      <c r="ACP69" s="33"/>
      <c r="ACZ69" s="33"/>
      <c r="ADJ69" s="33"/>
      <c r="ADT69" s="33"/>
      <c r="AED69" s="33"/>
      <c r="AEN69" s="33"/>
      <c r="AEX69" s="33"/>
      <c r="AFH69" s="33"/>
      <c r="AFR69" s="33"/>
      <c r="AGB69" s="33"/>
      <c r="AGL69" s="33"/>
      <c r="AGV69" s="33"/>
      <c r="AHF69" s="33"/>
      <c r="AHP69" s="33"/>
      <c r="AHZ69" s="33"/>
      <c r="AIJ69" s="33"/>
      <c r="AIT69" s="33"/>
      <c r="AJD69" s="33"/>
      <c r="AJN69" s="33"/>
      <c r="AJX69" s="33"/>
      <c r="AKH69" s="33"/>
      <c r="AKR69" s="33"/>
      <c r="ALB69" s="33"/>
      <c r="ALL69" s="33"/>
      <c r="ALV69" s="33"/>
      <c r="AMF69" s="33"/>
      <c r="AMP69" s="33"/>
      <c r="AMZ69" s="33"/>
      <c r="ANJ69" s="33"/>
      <c r="ANT69" s="33"/>
      <c r="AOD69" s="33"/>
      <c r="AON69" s="33"/>
      <c r="AOX69" s="33"/>
      <c r="APH69" s="33"/>
      <c r="APR69" s="33"/>
      <c r="AQB69" s="33"/>
      <c r="AQL69" s="33"/>
      <c r="AQV69" s="33"/>
      <c r="ARF69" s="33"/>
      <c r="ARP69" s="33"/>
      <c r="ARZ69" s="33"/>
      <c r="ASJ69" s="33"/>
      <c r="AST69" s="33"/>
      <c r="ATD69" s="33"/>
      <c r="ATN69" s="33"/>
      <c r="ATX69" s="33"/>
      <c r="AUH69" s="33"/>
      <c r="AUR69" s="33"/>
      <c r="AVB69" s="33"/>
      <c r="AVL69" s="33"/>
      <c r="AVV69" s="33"/>
      <c r="AWF69" s="33"/>
      <c r="AWP69" s="33"/>
      <c r="AWZ69" s="33"/>
      <c r="AXJ69" s="33"/>
      <c r="AXT69" s="33"/>
      <c r="AYD69" s="33"/>
      <c r="AYN69" s="33"/>
      <c r="AYX69" s="33"/>
      <c r="AZH69" s="33"/>
      <c r="AZR69" s="33"/>
      <c r="BAB69" s="33"/>
      <c r="BAL69" s="33"/>
      <c r="BAV69" s="33"/>
      <c r="BBF69" s="33"/>
      <c r="BBP69" s="33"/>
      <c r="BBZ69" s="33"/>
      <c r="BCJ69" s="33"/>
      <c r="BCT69" s="33"/>
      <c r="BDD69" s="33"/>
      <c r="BDN69" s="33"/>
      <c r="BDX69" s="33"/>
      <c r="BEH69" s="33"/>
      <c r="BER69" s="33"/>
      <c r="BFB69" s="33"/>
      <c r="BFL69" s="33"/>
      <c r="BFV69" s="33"/>
      <c r="BGF69" s="33"/>
      <c r="BGP69" s="33"/>
      <c r="BGZ69" s="33"/>
      <c r="BHJ69" s="33"/>
      <c r="BHT69" s="33"/>
      <c r="BID69" s="33"/>
      <c r="BIN69" s="33"/>
      <c r="BIX69" s="33"/>
      <c r="BJH69" s="33"/>
      <c r="BJR69" s="33"/>
      <c r="BKB69" s="33"/>
      <c r="BKL69" s="33"/>
      <c r="BKV69" s="33"/>
      <c r="BLF69" s="33"/>
      <c r="BLP69" s="33"/>
      <c r="BLZ69" s="33"/>
      <c r="BMJ69" s="33"/>
      <c r="BMT69" s="33"/>
      <c r="BND69" s="33"/>
      <c r="BNN69" s="33"/>
      <c r="BNX69" s="33"/>
      <c r="BOH69" s="33"/>
      <c r="BOR69" s="33"/>
      <c r="BPB69" s="33"/>
      <c r="BPL69" s="33"/>
      <c r="BPV69" s="33"/>
      <c r="BQF69" s="33"/>
      <c r="BQP69" s="33"/>
      <c r="BQZ69" s="33"/>
      <c r="BRJ69" s="33"/>
      <c r="BRT69" s="33"/>
      <c r="BSD69" s="33"/>
      <c r="BSN69" s="33"/>
      <c r="BSX69" s="33"/>
      <c r="BTH69" s="33"/>
      <c r="BTR69" s="33"/>
      <c r="BUB69" s="33"/>
      <c r="BUL69" s="33"/>
      <c r="BUV69" s="33"/>
      <c r="BVF69" s="33"/>
      <c r="BVP69" s="33"/>
      <c r="BVZ69" s="33"/>
      <c r="BWJ69" s="33"/>
      <c r="BWT69" s="33"/>
      <c r="BXD69" s="33"/>
      <c r="BXN69" s="33"/>
      <c r="BXX69" s="33"/>
      <c r="BYH69" s="33"/>
      <c r="BYR69" s="33"/>
      <c r="BZB69" s="33"/>
      <c r="BZL69" s="33"/>
      <c r="BZV69" s="33"/>
      <c r="CAF69" s="33"/>
      <c r="CAP69" s="33"/>
      <c r="CAZ69" s="33"/>
      <c r="CBJ69" s="33"/>
      <c r="CBT69" s="33"/>
      <c r="CCD69" s="33"/>
      <c r="CCN69" s="33"/>
      <c r="CCX69" s="33"/>
      <c r="CDH69" s="33"/>
      <c r="CDR69" s="33"/>
      <c r="CEB69" s="33"/>
      <c r="CEL69" s="33"/>
      <c r="CEV69" s="33"/>
      <c r="CFF69" s="33"/>
      <c r="CFP69" s="33"/>
      <c r="CFZ69" s="33"/>
      <c r="CGJ69" s="33"/>
      <c r="CGT69" s="33"/>
      <c r="CHD69" s="33"/>
      <c r="CHN69" s="33"/>
      <c r="CHX69" s="33"/>
      <c r="CIH69" s="33"/>
      <c r="CIR69" s="33"/>
      <c r="CJB69" s="33"/>
      <c r="CJL69" s="33"/>
      <c r="CJV69" s="33"/>
      <c r="CKF69" s="33"/>
      <c r="CKP69" s="33"/>
      <c r="CKZ69" s="33"/>
      <c r="CLJ69" s="33"/>
      <c r="CLT69" s="33"/>
      <c r="CMD69" s="33"/>
      <c r="CMN69" s="33"/>
      <c r="CMX69" s="33"/>
      <c r="CNH69" s="33"/>
      <c r="CNR69" s="33"/>
      <c r="COB69" s="33"/>
      <c r="COL69" s="33"/>
      <c r="COV69" s="33"/>
      <c r="CPF69" s="33"/>
      <c r="CPP69" s="33"/>
      <c r="CPZ69" s="33"/>
      <c r="CQJ69" s="33"/>
      <c r="CQT69" s="33"/>
      <c r="CRD69" s="33"/>
      <c r="CRN69" s="33"/>
      <c r="CRX69" s="33"/>
      <c r="CSH69" s="33"/>
      <c r="CSR69" s="33"/>
      <c r="CTB69" s="33"/>
      <c r="CTL69" s="33"/>
      <c r="CTV69" s="33"/>
    </row>
    <row r="70" s="16" customFormat="1" customHeight="1" spans="1:1020 1030:2040 2050:2570">
      <c r="A70" s="57"/>
      <c r="B70" s="52"/>
      <c r="C70" s="52"/>
      <c r="D70" s="52"/>
      <c r="E70" s="52"/>
      <c r="F70" s="58" t="str">
        <f>IFERROR(VLOOKUP(E70,日报!E:G,2,0),"")</f>
        <v/>
      </c>
      <c r="G70" s="52"/>
      <c r="H70" s="53" t="str">
        <f>IFERROR(VLOOKUP(E70,基础数据!$E$4:$H$4,4,0),"")</f>
        <v/>
      </c>
      <c r="I70" s="53" t="str">
        <f>IFERROR(VLOOKUP(E70,基础数据!$E$4:$H$4,3,0),"")</f>
        <v/>
      </c>
      <c r="J70" s="52"/>
      <c r="K70" s="54" t="str">
        <f t="shared" si="1"/>
        <v/>
      </c>
      <c r="T70" s="33"/>
      <c r="AD70" s="33"/>
      <c r="AN70" s="33"/>
      <c r="AX70" s="33"/>
      <c r="BH70" s="33"/>
      <c r="BR70" s="33"/>
      <c r="CB70" s="33"/>
      <c r="CL70" s="33"/>
      <c r="CV70" s="33"/>
      <c r="DF70" s="33"/>
      <c r="DP70" s="33"/>
      <c r="DZ70" s="33"/>
      <c r="EJ70" s="33"/>
      <c r="ET70" s="33"/>
      <c r="FD70" s="33"/>
      <c r="FN70" s="33"/>
      <c r="FX70" s="33"/>
      <c r="GH70" s="33"/>
      <c r="GR70" s="33"/>
      <c r="HB70" s="33"/>
      <c r="HL70" s="33"/>
      <c r="HV70" s="33"/>
      <c r="IF70" s="33"/>
      <c r="IP70" s="33"/>
      <c r="IZ70" s="33"/>
      <c r="JJ70" s="33"/>
      <c r="JT70" s="33"/>
      <c r="KD70" s="33"/>
      <c r="KN70" s="33"/>
      <c r="KX70" s="33"/>
      <c r="LH70" s="33"/>
      <c r="LR70" s="33"/>
      <c r="MB70" s="33"/>
      <c r="ML70" s="33"/>
      <c r="MV70" s="33"/>
      <c r="NF70" s="33"/>
      <c r="NP70" s="33"/>
      <c r="NZ70" s="33"/>
      <c r="OJ70" s="33"/>
      <c r="OT70" s="33"/>
      <c r="PD70" s="33"/>
      <c r="PN70" s="33"/>
      <c r="PX70" s="33"/>
      <c r="QH70" s="33"/>
      <c r="QR70" s="33"/>
      <c r="RB70" s="33"/>
      <c r="RL70" s="33"/>
      <c r="RV70" s="33"/>
      <c r="SF70" s="33"/>
      <c r="SP70" s="33"/>
      <c r="SZ70" s="33"/>
      <c r="TJ70" s="33"/>
      <c r="TT70" s="33"/>
      <c r="UD70" s="33"/>
      <c r="UN70" s="33"/>
      <c r="UX70" s="33"/>
      <c r="VH70" s="33"/>
      <c r="VR70" s="33"/>
      <c r="WB70" s="33"/>
      <c r="WL70" s="33"/>
      <c r="WV70" s="33"/>
      <c r="XF70" s="33"/>
      <c r="XP70" s="33"/>
      <c r="XZ70" s="33"/>
      <c r="YJ70" s="33"/>
      <c r="YT70" s="33"/>
      <c r="ZD70" s="33"/>
      <c r="ZN70" s="33"/>
      <c r="ZX70" s="33"/>
      <c r="AAH70" s="33"/>
      <c r="AAR70" s="33"/>
      <c r="ABB70" s="33"/>
      <c r="ABL70" s="33"/>
      <c r="ABV70" s="33"/>
      <c r="ACF70" s="33"/>
      <c r="ACP70" s="33"/>
      <c r="ACZ70" s="33"/>
      <c r="ADJ70" s="33"/>
      <c r="ADT70" s="33"/>
      <c r="AED70" s="33"/>
      <c r="AEN70" s="33"/>
      <c r="AEX70" s="33"/>
      <c r="AFH70" s="33"/>
      <c r="AFR70" s="33"/>
      <c r="AGB70" s="33"/>
      <c r="AGL70" s="33"/>
      <c r="AGV70" s="33"/>
      <c r="AHF70" s="33"/>
      <c r="AHP70" s="33"/>
      <c r="AHZ70" s="33"/>
      <c r="AIJ70" s="33"/>
      <c r="AIT70" s="33"/>
      <c r="AJD70" s="33"/>
      <c r="AJN70" s="33"/>
      <c r="AJX70" s="33"/>
      <c r="AKH70" s="33"/>
      <c r="AKR70" s="33"/>
      <c r="ALB70" s="33"/>
      <c r="ALL70" s="33"/>
      <c r="ALV70" s="33"/>
      <c r="AMF70" s="33"/>
      <c r="AMP70" s="33"/>
      <c r="AMZ70" s="33"/>
      <c r="ANJ70" s="33"/>
      <c r="ANT70" s="33"/>
      <c r="AOD70" s="33"/>
      <c r="AON70" s="33"/>
      <c r="AOX70" s="33"/>
      <c r="APH70" s="33"/>
      <c r="APR70" s="33"/>
      <c r="AQB70" s="33"/>
      <c r="AQL70" s="33"/>
      <c r="AQV70" s="33"/>
      <c r="ARF70" s="33"/>
      <c r="ARP70" s="33"/>
      <c r="ARZ70" s="33"/>
      <c r="ASJ70" s="33"/>
      <c r="AST70" s="33"/>
      <c r="ATD70" s="33"/>
      <c r="ATN70" s="33"/>
      <c r="ATX70" s="33"/>
      <c r="AUH70" s="33"/>
      <c r="AUR70" s="33"/>
      <c r="AVB70" s="33"/>
      <c r="AVL70" s="33"/>
      <c r="AVV70" s="33"/>
      <c r="AWF70" s="33"/>
      <c r="AWP70" s="33"/>
      <c r="AWZ70" s="33"/>
      <c r="AXJ70" s="33"/>
      <c r="AXT70" s="33"/>
      <c r="AYD70" s="33"/>
      <c r="AYN70" s="33"/>
      <c r="AYX70" s="33"/>
      <c r="AZH70" s="33"/>
      <c r="AZR70" s="33"/>
      <c r="BAB70" s="33"/>
      <c r="BAL70" s="33"/>
      <c r="BAV70" s="33"/>
      <c r="BBF70" s="33"/>
      <c r="BBP70" s="33"/>
      <c r="BBZ70" s="33"/>
      <c r="BCJ70" s="33"/>
      <c r="BCT70" s="33"/>
      <c r="BDD70" s="33"/>
      <c r="BDN70" s="33"/>
      <c r="BDX70" s="33"/>
      <c r="BEH70" s="33"/>
      <c r="BER70" s="33"/>
      <c r="BFB70" s="33"/>
      <c r="BFL70" s="33"/>
      <c r="BFV70" s="33"/>
      <c r="BGF70" s="33"/>
      <c r="BGP70" s="33"/>
      <c r="BGZ70" s="33"/>
      <c r="BHJ70" s="33"/>
      <c r="BHT70" s="33"/>
      <c r="BID70" s="33"/>
      <c r="BIN70" s="33"/>
      <c r="BIX70" s="33"/>
      <c r="BJH70" s="33"/>
      <c r="BJR70" s="33"/>
      <c r="BKB70" s="33"/>
      <c r="BKL70" s="33"/>
      <c r="BKV70" s="33"/>
      <c r="BLF70" s="33"/>
      <c r="BLP70" s="33"/>
      <c r="BLZ70" s="33"/>
      <c r="BMJ70" s="33"/>
      <c r="BMT70" s="33"/>
      <c r="BND70" s="33"/>
      <c r="BNN70" s="33"/>
      <c r="BNX70" s="33"/>
      <c r="BOH70" s="33"/>
      <c r="BOR70" s="33"/>
      <c r="BPB70" s="33"/>
      <c r="BPL70" s="33"/>
      <c r="BPV70" s="33"/>
      <c r="BQF70" s="33"/>
      <c r="BQP70" s="33"/>
      <c r="BQZ70" s="33"/>
      <c r="BRJ70" s="33"/>
      <c r="BRT70" s="33"/>
      <c r="BSD70" s="33"/>
      <c r="BSN70" s="33"/>
      <c r="BSX70" s="33"/>
      <c r="BTH70" s="33"/>
      <c r="BTR70" s="33"/>
      <c r="BUB70" s="33"/>
      <c r="BUL70" s="33"/>
      <c r="BUV70" s="33"/>
      <c r="BVF70" s="33"/>
      <c r="BVP70" s="33"/>
      <c r="BVZ70" s="33"/>
      <c r="BWJ70" s="33"/>
      <c r="BWT70" s="33"/>
      <c r="BXD70" s="33"/>
      <c r="BXN70" s="33"/>
      <c r="BXX70" s="33"/>
      <c r="BYH70" s="33"/>
      <c r="BYR70" s="33"/>
      <c r="BZB70" s="33"/>
      <c r="BZL70" s="33"/>
      <c r="BZV70" s="33"/>
      <c r="CAF70" s="33"/>
      <c r="CAP70" s="33"/>
      <c r="CAZ70" s="33"/>
      <c r="CBJ70" s="33"/>
      <c r="CBT70" s="33"/>
      <c r="CCD70" s="33"/>
      <c r="CCN70" s="33"/>
      <c r="CCX70" s="33"/>
      <c r="CDH70" s="33"/>
      <c r="CDR70" s="33"/>
      <c r="CEB70" s="33"/>
      <c r="CEL70" s="33"/>
      <c r="CEV70" s="33"/>
      <c r="CFF70" s="33"/>
      <c r="CFP70" s="33"/>
      <c r="CFZ70" s="33"/>
      <c r="CGJ70" s="33"/>
      <c r="CGT70" s="33"/>
      <c r="CHD70" s="33"/>
      <c r="CHN70" s="33"/>
      <c r="CHX70" s="33"/>
      <c r="CIH70" s="33"/>
      <c r="CIR70" s="33"/>
      <c r="CJB70" s="33"/>
      <c r="CJL70" s="33"/>
      <c r="CJV70" s="33"/>
      <c r="CKF70" s="33"/>
      <c r="CKP70" s="33"/>
      <c r="CKZ70" s="33"/>
      <c r="CLJ70" s="33"/>
      <c r="CLT70" s="33"/>
      <c r="CMD70" s="33"/>
      <c r="CMN70" s="33"/>
      <c r="CMX70" s="33"/>
      <c r="CNH70" s="33"/>
      <c r="CNR70" s="33"/>
      <c r="COB70" s="33"/>
      <c r="COL70" s="33"/>
      <c r="COV70" s="33"/>
      <c r="CPF70" s="33"/>
      <c r="CPP70" s="33"/>
      <c r="CPZ70" s="33"/>
      <c r="CQJ70" s="33"/>
      <c r="CQT70" s="33"/>
      <c r="CRD70" s="33"/>
      <c r="CRN70" s="33"/>
      <c r="CRX70" s="33"/>
      <c r="CSH70" s="33"/>
      <c r="CSR70" s="33"/>
      <c r="CTB70" s="33"/>
      <c r="CTL70" s="33"/>
      <c r="CTV70" s="33"/>
    </row>
    <row r="71" s="16" customFormat="1" customHeight="1" spans="1:1020 1030:2040 2050:2570">
      <c r="A71" s="57"/>
      <c r="B71" s="52"/>
      <c r="C71" s="52"/>
      <c r="D71" s="52"/>
      <c r="E71" s="52"/>
      <c r="F71" s="58" t="str">
        <f>IFERROR(VLOOKUP(E71,日报!E:G,2,0),"")</f>
        <v/>
      </c>
      <c r="G71" s="52"/>
      <c r="H71" s="53" t="str">
        <f>IFERROR(VLOOKUP(E71,基础数据!$E$4:$H$4,4,0),"")</f>
        <v/>
      </c>
      <c r="I71" s="53" t="str">
        <f>IFERROR(VLOOKUP(E71,基础数据!$E$4:$H$4,3,0),"")</f>
        <v/>
      </c>
      <c r="J71" s="52"/>
      <c r="K71" s="54" t="str">
        <f t="shared" si="1"/>
        <v/>
      </c>
      <c r="T71" s="33"/>
      <c r="AD71" s="33"/>
      <c r="AN71" s="33"/>
      <c r="AX71" s="33"/>
      <c r="BH71" s="33"/>
      <c r="BR71" s="33"/>
      <c r="CB71" s="33"/>
      <c r="CL71" s="33"/>
      <c r="CV71" s="33"/>
      <c r="DF71" s="33"/>
      <c r="DP71" s="33"/>
      <c r="DZ71" s="33"/>
      <c r="EJ71" s="33"/>
      <c r="ET71" s="33"/>
      <c r="FD71" s="33"/>
      <c r="FN71" s="33"/>
      <c r="FX71" s="33"/>
      <c r="GH71" s="33"/>
      <c r="GR71" s="33"/>
      <c r="HB71" s="33"/>
      <c r="HL71" s="33"/>
      <c r="HV71" s="33"/>
      <c r="IF71" s="33"/>
      <c r="IP71" s="33"/>
      <c r="IZ71" s="33"/>
      <c r="JJ71" s="33"/>
      <c r="JT71" s="33"/>
      <c r="KD71" s="33"/>
      <c r="KN71" s="33"/>
      <c r="KX71" s="33"/>
      <c r="LH71" s="33"/>
      <c r="LR71" s="33"/>
      <c r="MB71" s="33"/>
      <c r="ML71" s="33"/>
      <c r="MV71" s="33"/>
      <c r="NF71" s="33"/>
      <c r="NP71" s="33"/>
      <c r="NZ71" s="33"/>
      <c r="OJ71" s="33"/>
      <c r="OT71" s="33"/>
      <c r="PD71" s="33"/>
      <c r="PN71" s="33"/>
      <c r="PX71" s="33"/>
      <c r="QH71" s="33"/>
      <c r="QR71" s="33"/>
      <c r="RB71" s="33"/>
      <c r="RL71" s="33"/>
      <c r="RV71" s="33"/>
      <c r="SF71" s="33"/>
      <c r="SP71" s="33"/>
      <c r="SZ71" s="33"/>
      <c r="TJ71" s="33"/>
      <c r="TT71" s="33"/>
      <c r="UD71" s="33"/>
      <c r="UN71" s="33"/>
      <c r="UX71" s="33"/>
      <c r="VH71" s="33"/>
      <c r="VR71" s="33"/>
      <c r="WB71" s="33"/>
      <c r="WL71" s="33"/>
      <c r="WV71" s="33"/>
      <c r="XF71" s="33"/>
      <c r="XP71" s="33"/>
      <c r="XZ71" s="33"/>
      <c r="YJ71" s="33"/>
      <c r="YT71" s="33"/>
      <c r="ZD71" s="33"/>
      <c r="ZN71" s="33"/>
      <c r="ZX71" s="33"/>
      <c r="AAH71" s="33"/>
      <c r="AAR71" s="33"/>
      <c r="ABB71" s="33"/>
      <c r="ABL71" s="33"/>
      <c r="ABV71" s="33"/>
      <c r="ACF71" s="33"/>
      <c r="ACP71" s="33"/>
      <c r="ACZ71" s="33"/>
      <c r="ADJ71" s="33"/>
      <c r="ADT71" s="33"/>
      <c r="AED71" s="33"/>
      <c r="AEN71" s="33"/>
      <c r="AEX71" s="33"/>
      <c r="AFH71" s="33"/>
      <c r="AFR71" s="33"/>
      <c r="AGB71" s="33"/>
      <c r="AGL71" s="33"/>
      <c r="AGV71" s="33"/>
      <c r="AHF71" s="33"/>
      <c r="AHP71" s="33"/>
      <c r="AHZ71" s="33"/>
      <c r="AIJ71" s="33"/>
      <c r="AIT71" s="33"/>
      <c r="AJD71" s="33"/>
      <c r="AJN71" s="33"/>
      <c r="AJX71" s="33"/>
      <c r="AKH71" s="33"/>
      <c r="AKR71" s="33"/>
      <c r="ALB71" s="33"/>
      <c r="ALL71" s="33"/>
      <c r="ALV71" s="33"/>
      <c r="AMF71" s="33"/>
      <c r="AMP71" s="33"/>
      <c r="AMZ71" s="33"/>
      <c r="ANJ71" s="33"/>
      <c r="ANT71" s="33"/>
      <c r="AOD71" s="33"/>
      <c r="AON71" s="33"/>
      <c r="AOX71" s="33"/>
      <c r="APH71" s="33"/>
      <c r="APR71" s="33"/>
      <c r="AQB71" s="33"/>
      <c r="AQL71" s="33"/>
      <c r="AQV71" s="33"/>
      <c r="ARF71" s="33"/>
      <c r="ARP71" s="33"/>
      <c r="ARZ71" s="33"/>
      <c r="ASJ71" s="33"/>
      <c r="AST71" s="33"/>
      <c r="ATD71" s="33"/>
      <c r="ATN71" s="33"/>
      <c r="ATX71" s="33"/>
      <c r="AUH71" s="33"/>
      <c r="AUR71" s="33"/>
      <c r="AVB71" s="33"/>
      <c r="AVL71" s="33"/>
      <c r="AVV71" s="33"/>
      <c r="AWF71" s="33"/>
      <c r="AWP71" s="33"/>
      <c r="AWZ71" s="33"/>
      <c r="AXJ71" s="33"/>
      <c r="AXT71" s="33"/>
      <c r="AYD71" s="33"/>
      <c r="AYN71" s="33"/>
      <c r="AYX71" s="33"/>
      <c r="AZH71" s="33"/>
      <c r="AZR71" s="33"/>
      <c r="BAB71" s="33"/>
      <c r="BAL71" s="33"/>
      <c r="BAV71" s="33"/>
      <c r="BBF71" s="33"/>
      <c r="BBP71" s="33"/>
      <c r="BBZ71" s="33"/>
      <c r="BCJ71" s="33"/>
      <c r="BCT71" s="33"/>
      <c r="BDD71" s="33"/>
      <c r="BDN71" s="33"/>
      <c r="BDX71" s="33"/>
      <c r="BEH71" s="33"/>
      <c r="BER71" s="33"/>
      <c r="BFB71" s="33"/>
      <c r="BFL71" s="33"/>
      <c r="BFV71" s="33"/>
      <c r="BGF71" s="33"/>
      <c r="BGP71" s="33"/>
      <c r="BGZ71" s="33"/>
      <c r="BHJ71" s="33"/>
      <c r="BHT71" s="33"/>
      <c r="BID71" s="33"/>
      <c r="BIN71" s="33"/>
      <c r="BIX71" s="33"/>
      <c r="BJH71" s="33"/>
      <c r="BJR71" s="33"/>
      <c r="BKB71" s="33"/>
      <c r="BKL71" s="33"/>
      <c r="BKV71" s="33"/>
      <c r="BLF71" s="33"/>
      <c r="BLP71" s="33"/>
      <c r="BLZ71" s="33"/>
      <c r="BMJ71" s="33"/>
      <c r="BMT71" s="33"/>
      <c r="BND71" s="33"/>
      <c r="BNN71" s="33"/>
      <c r="BNX71" s="33"/>
      <c r="BOH71" s="33"/>
      <c r="BOR71" s="33"/>
      <c r="BPB71" s="33"/>
      <c r="BPL71" s="33"/>
      <c r="BPV71" s="33"/>
      <c r="BQF71" s="33"/>
      <c r="BQP71" s="33"/>
      <c r="BQZ71" s="33"/>
      <c r="BRJ71" s="33"/>
      <c r="BRT71" s="33"/>
      <c r="BSD71" s="33"/>
      <c r="BSN71" s="33"/>
      <c r="BSX71" s="33"/>
      <c r="BTH71" s="33"/>
      <c r="BTR71" s="33"/>
      <c r="BUB71" s="33"/>
      <c r="BUL71" s="33"/>
      <c r="BUV71" s="33"/>
      <c r="BVF71" s="33"/>
      <c r="BVP71" s="33"/>
      <c r="BVZ71" s="33"/>
      <c r="BWJ71" s="33"/>
      <c r="BWT71" s="33"/>
      <c r="BXD71" s="33"/>
      <c r="BXN71" s="33"/>
      <c r="BXX71" s="33"/>
      <c r="BYH71" s="33"/>
      <c r="BYR71" s="33"/>
      <c r="BZB71" s="33"/>
      <c r="BZL71" s="33"/>
      <c r="BZV71" s="33"/>
      <c r="CAF71" s="33"/>
      <c r="CAP71" s="33"/>
      <c r="CAZ71" s="33"/>
      <c r="CBJ71" s="33"/>
      <c r="CBT71" s="33"/>
      <c r="CCD71" s="33"/>
      <c r="CCN71" s="33"/>
      <c r="CCX71" s="33"/>
      <c r="CDH71" s="33"/>
      <c r="CDR71" s="33"/>
      <c r="CEB71" s="33"/>
      <c r="CEL71" s="33"/>
      <c r="CEV71" s="33"/>
      <c r="CFF71" s="33"/>
      <c r="CFP71" s="33"/>
      <c r="CFZ71" s="33"/>
      <c r="CGJ71" s="33"/>
      <c r="CGT71" s="33"/>
      <c r="CHD71" s="33"/>
      <c r="CHN71" s="33"/>
      <c r="CHX71" s="33"/>
      <c r="CIH71" s="33"/>
      <c r="CIR71" s="33"/>
      <c r="CJB71" s="33"/>
      <c r="CJL71" s="33"/>
      <c r="CJV71" s="33"/>
      <c r="CKF71" s="33"/>
      <c r="CKP71" s="33"/>
      <c r="CKZ71" s="33"/>
      <c r="CLJ71" s="33"/>
      <c r="CLT71" s="33"/>
      <c r="CMD71" s="33"/>
      <c r="CMN71" s="33"/>
      <c r="CMX71" s="33"/>
      <c r="CNH71" s="33"/>
      <c r="CNR71" s="33"/>
      <c r="COB71" s="33"/>
      <c r="COL71" s="33"/>
      <c r="COV71" s="33"/>
      <c r="CPF71" s="33"/>
      <c r="CPP71" s="33"/>
      <c r="CPZ71" s="33"/>
      <c r="CQJ71" s="33"/>
      <c r="CQT71" s="33"/>
      <c r="CRD71" s="33"/>
      <c r="CRN71" s="33"/>
      <c r="CRX71" s="33"/>
      <c r="CSH71" s="33"/>
      <c r="CSR71" s="33"/>
      <c r="CTB71" s="33"/>
      <c r="CTL71" s="33"/>
      <c r="CTV71" s="33"/>
    </row>
    <row r="72" s="16" customFormat="1" customHeight="1" spans="1:1020 1030:2040 2050:2570">
      <c r="A72" s="57"/>
      <c r="B72" s="52"/>
      <c r="C72" s="52"/>
      <c r="D72" s="52"/>
      <c r="E72" s="52"/>
      <c r="F72" s="58" t="str">
        <f>IFERROR(VLOOKUP(E72,日报!E:G,2,0),"")</f>
        <v/>
      </c>
      <c r="G72" s="52"/>
      <c r="H72" s="53" t="str">
        <f>IFERROR(VLOOKUP(E72,基础数据!$E$4:$H$4,4,0),"")</f>
        <v/>
      </c>
      <c r="I72" s="53" t="str">
        <f>IFERROR(VLOOKUP(E72,基础数据!$E$4:$H$4,3,0),"")</f>
        <v/>
      </c>
      <c r="J72" s="52"/>
      <c r="K72" s="54" t="str">
        <f t="shared" si="1"/>
        <v/>
      </c>
      <c r="T72" s="33"/>
      <c r="AD72" s="33"/>
      <c r="AN72" s="33"/>
      <c r="AX72" s="33"/>
      <c r="BH72" s="33"/>
      <c r="BR72" s="33"/>
      <c r="CB72" s="33"/>
      <c r="CL72" s="33"/>
      <c r="CV72" s="33"/>
      <c r="DF72" s="33"/>
      <c r="DP72" s="33"/>
      <c r="DZ72" s="33"/>
      <c r="EJ72" s="33"/>
      <c r="ET72" s="33"/>
      <c r="FD72" s="33"/>
      <c r="FN72" s="33"/>
      <c r="FX72" s="33"/>
      <c r="GH72" s="33"/>
      <c r="GR72" s="33"/>
      <c r="HB72" s="33"/>
      <c r="HL72" s="33"/>
      <c r="HV72" s="33"/>
      <c r="IF72" s="33"/>
      <c r="IP72" s="33"/>
      <c r="IZ72" s="33"/>
      <c r="JJ72" s="33"/>
      <c r="JT72" s="33"/>
      <c r="KD72" s="33"/>
      <c r="KN72" s="33"/>
      <c r="KX72" s="33"/>
      <c r="LH72" s="33"/>
      <c r="LR72" s="33"/>
      <c r="MB72" s="33"/>
      <c r="ML72" s="33"/>
      <c r="MV72" s="33"/>
      <c r="NF72" s="33"/>
      <c r="NP72" s="33"/>
      <c r="NZ72" s="33"/>
      <c r="OJ72" s="33"/>
      <c r="OT72" s="33"/>
      <c r="PD72" s="33"/>
      <c r="PN72" s="33"/>
      <c r="PX72" s="33"/>
      <c r="QH72" s="33"/>
      <c r="QR72" s="33"/>
      <c r="RB72" s="33"/>
      <c r="RL72" s="33"/>
      <c r="RV72" s="33"/>
      <c r="SF72" s="33"/>
      <c r="SP72" s="33"/>
      <c r="SZ72" s="33"/>
      <c r="TJ72" s="33"/>
      <c r="TT72" s="33"/>
      <c r="UD72" s="33"/>
      <c r="UN72" s="33"/>
      <c r="UX72" s="33"/>
      <c r="VH72" s="33"/>
      <c r="VR72" s="33"/>
      <c r="WB72" s="33"/>
      <c r="WL72" s="33"/>
      <c r="WV72" s="33"/>
      <c r="XF72" s="33"/>
      <c r="XP72" s="33"/>
      <c r="XZ72" s="33"/>
      <c r="YJ72" s="33"/>
      <c r="YT72" s="33"/>
      <c r="ZD72" s="33"/>
      <c r="ZN72" s="33"/>
      <c r="ZX72" s="33"/>
      <c r="AAH72" s="33"/>
      <c r="AAR72" s="33"/>
      <c r="ABB72" s="33"/>
      <c r="ABL72" s="33"/>
      <c r="ABV72" s="33"/>
      <c r="ACF72" s="33"/>
      <c r="ACP72" s="33"/>
      <c r="ACZ72" s="33"/>
      <c r="ADJ72" s="33"/>
      <c r="ADT72" s="33"/>
      <c r="AED72" s="33"/>
      <c r="AEN72" s="33"/>
      <c r="AEX72" s="33"/>
      <c r="AFH72" s="33"/>
      <c r="AFR72" s="33"/>
      <c r="AGB72" s="33"/>
      <c r="AGL72" s="33"/>
      <c r="AGV72" s="33"/>
      <c r="AHF72" s="33"/>
      <c r="AHP72" s="33"/>
      <c r="AHZ72" s="33"/>
      <c r="AIJ72" s="33"/>
      <c r="AIT72" s="33"/>
      <c r="AJD72" s="33"/>
      <c r="AJN72" s="33"/>
      <c r="AJX72" s="33"/>
      <c r="AKH72" s="33"/>
      <c r="AKR72" s="33"/>
      <c r="ALB72" s="33"/>
      <c r="ALL72" s="33"/>
      <c r="ALV72" s="33"/>
      <c r="AMF72" s="33"/>
      <c r="AMP72" s="33"/>
      <c r="AMZ72" s="33"/>
      <c r="ANJ72" s="33"/>
      <c r="ANT72" s="33"/>
      <c r="AOD72" s="33"/>
      <c r="AON72" s="33"/>
      <c r="AOX72" s="33"/>
      <c r="APH72" s="33"/>
      <c r="APR72" s="33"/>
      <c r="AQB72" s="33"/>
      <c r="AQL72" s="33"/>
      <c r="AQV72" s="33"/>
      <c r="ARF72" s="33"/>
      <c r="ARP72" s="33"/>
      <c r="ARZ72" s="33"/>
      <c r="ASJ72" s="33"/>
      <c r="AST72" s="33"/>
      <c r="ATD72" s="33"/>
      <c r="ATN72" s="33"/>
      <c r="ATX72" s="33"/>
      <c r="AUH72" s="33"/>
      <c r="AUR72" s="33"/>
      <c r="AVB72" s="33"/>
      <c r="AVL72" s="33"/>
      <c r="AVV72" s="33"/>
      <c r="AWF72" s="33"/>
      <c r="AWP72" s="33"/>
      <c r="AWZ72" s="33"/>
      <c r="AXJ72" s="33"/>
      <c r="AXT72" s="33"/>
      <c r="AYD72" s="33"/>
      <c r="AYN72" s="33"/>
      <c r="AYX72" s="33"/>
      <c r="AZH72" s="33"/>
      <c r="AZR72" s="33"/>
      <c r="BAB72" s="33"/>
      <c r="BAL72" s="33"/>
      <c r="BAV72" s="33"/>
      <c r="BBF72" s="33"/>
      <c r="BBP72" s="33"/>
      <c r="BBZ72" s="33"/>
      <c r="BCJ72" s="33"/>
      <c r="BCT72" s="33"/>
      <c r="BDD72" s="33"/>
      <c r="BDN72" s="33"/>
      <c r="BDX72" s="33"/>
      <c r="BEH72" s="33"/>
      <c r="BER72" s="33"/>
      <c r="BFB72" s="33"/>
      <c r="BFL72" s="33"/>
      <c r="BFV72" s="33"/>
      <c r="BGF72" s="33"/>
      <c r="BGP72" s="33"/>
      <c r="BGZ72" s="33"/>
      <c r="BHJ72" s="33"/>
      <c r="BHT72" s="33"/>
      <c r="BID72" s="33"/>
      <c r="BIN72" s="33"/>
      <c r="BIX72" s="33"/>
      <c r="BJH72" s="33"/>
      <c r="BJR72" s="33"/>
      <c r="BKB72" s="33"/>
      <c r="BKL72" s="33"/>
      <c r="BKV72" s="33"/>
      <c r="BLF72" s="33"/>
      <c r="BLP72" s="33"/>
      <c r="BLZ72" s="33"/>
      <c r="BMJ72" s="33"/>
      <c r="BMT72" s="33"/>
      <c r="BND72" s="33"/>
      <c r="BNN72" s="33"/>
      <c r="BNX72" s="33"/>
      <c r="BOH72" s="33"/>
      <c r="BOR72" s="33"/>
      <c r="BPB72" s="33"/>
      <c r="BPL72" s="33"/>
      <c r="BPV72" s="33"/>
      <c r="BQF72" s="33"/>
      <c r="BQP72" s="33"/>
      <c r="BQZ72" s="33"/>
      <c r="BRJ72" s="33"/>
      <c r="BRT72" s="33"/>
      <c r="BSD72" s="33"/>
      <c r="BSN72" s="33"/>
      <c r="BSX72" s="33"/>
      <c r="BTH72" s="33"/>
      <c r="BTR72" s="33"/>
      <c r="BUB72" s="33"/>
      <c r="BUL72" s="33"/>
      <c r="BUV72" s="33"/>
      <c r="BVF72" s="33"/>
      <c r="BVP72" s="33"/>
      <c r="BVZ72" s="33"/>
      <c r="BWJ72" s="33"/>
      <c r="BWT72" s="33"/>
      <c r="BXD72" s="33"/>
      <c r="BXN72" s="33"/>
      <c r="BXX72" s="33"/>
      <c r="BYH72" s="33"/>
      <c r="BYR72" s="33"/>
      <c r="BZB72" s="33"/>
      <c r="BZL72" s="33"/>
      <c r="BZV72" s="33"/>
      <c r="CAF72" s="33"/>
      <c r="CAP72" s="33"/>
      <c r="CAZ72" s="33"/>
      <c r="CBJ72" s="33"/>
      <c r="CBT72" s="33"/>
      <c r="CCD72" s="33"/>
      <c r="CCN72" s="33"/>
      <c r="CCX72" s="33"/>
      <c r="CDH72" s="33"/>
      <c r="CDR72" s="33"/>
      <c r="CEB72" s="33"/>
      <c r="CEL72" s="33"/>
      <c r="CEV72" s="33"/>
      <c r="CFF72" s="33"/>
      <c r="CFP72" s="33"/>
      <c r="CFZ72" s="33"/>
      <c r="CGJ72" s="33"/>
      <c r="CGT72" s="33"/>
      <c r="CHD72" s="33"/>
      <c r="CHN72" s="33"/>
      <c r="CHX72" s="33"/>
      <c r="CIH72" s="33"/>
      <c r="CIR72" s="33"/>
      <c r="CJB72" s="33"/>
      <c r="CJL72" s="33"/>
      <c r="CJV72" s="33"/>
      <c r="CKF72" s="33"/>
      <c r="CKP72" s="33"/>
      <c r="CKZ72" s="33"/>
      <c r="CLJ72" s="33"/>
      <c r="CLT72" s="33"/>
      <c r="CMD72" s="33"/>
      <c r="CMN72" s="33"/>
      <c r="CMX72" s="33"/>
      <c r="CNH72" s="33"/>
      <c r="CNR72" s="33"/>
      <c r="COB72" s="33"/>
      <c r="COL72" s="33"/>
      <c r="COV72" s="33"/>
      <c r="CPF72" s="33"/>
      <c r="CPP72" s="33"/>
      <c r="CPZ72" s="33"/>
      <c r="CQJ72" s="33"/>
      <c r="CQT72" s="33"/>
      <c r="CRD72" s="33"/>
      <c r="CRN72" s="33"/>
      <c r="CRX72" s="33"/>
      <c r="CSH72" s="33"/>
      <c r="CSR72" s="33"/>
      <c r="CTB72" s="33"/>
      <c r="CTL72" s="33"/>
      <c r="CTV72" s="33"/>
    </row>
    <row r="73" s="16" customFormat="1" customHeight="1" spans="1:1020 1030:2040 2050:2570">
      <c r="A73" s="57"/>
      <c r="B73" s="52"/>
      <c r="C73" s="52"/>
      <c r="D73" s="52"/>
      <c r="E73" s="52"/>
      <c r="F73" s="58" t="str">
        <f>IFERROR(VLOOKUP(E73,日报!E:G,2,0),"")</f>
        <v/>
      </c>
      <c r="G73" s="52"/>
      <c r="H73" s="53" t="str">
        <f>IFERROR(VLOOKUP(E73,基础数据!$E$4:$H$4,4,0),"")</f>
        <v/>
      </c>
      <c r="I73" s="53" t="str">
        <f>IFERROR(VLOOKUP(E73,基础数据!$E$4:$H$4,3,0),"")</f>
        <v/>
      </c>
      <c r="J73" s="52"/>
      <c r="K73" s="54" t="str">
        <f t="shared" si="1"/>
        <v/>
      </c>
      <c r="T73" s="33"/>
      <c r="AD73" s="33"/>
      <c r="AN73" s="33"/>
      <c r="AX73" s="33"/>
      <c r="BH73" s="33"/>
      <c r="BR73" s="33"/>
      <c r="CB73" s="33"/>
      <c r="CL73" s="33"/>
      <c r="CV73" s="33"/>
      <c r="DF73" s="33"/>
      <c r="DP73" s="33"/>
      <c r="DZ73" s="33"/>
      <c r="EJ73" s="33"/>
      <c r="ET73" s="33"/>
      <c r="FD73" s="33"/>
      <c r="FN73" s="33"/>
      <c r="FX73" s="33"/>
      <c r="GH73" s="33"/>
      <c r="GR73" s="33"/>
      <c r="HB73" s="33"/>
      <c r="HL73" s="33"/>
      <c r="HV73" s="33"/>
      <c r="IF73" s="33"/>
      <c r="IP73" s="33"/>
      <c r="IZ73" s="33"/>
      <c r="JJ73" s="33"/>
      <c r="JT73" s="33"/>
      <c r="KD73" s="33"/>
      <c r="KN73" s="33"/>
      <c r="KX73" s="33"/>
      <c r="LH73" s="33"/>
      <c r="LR73" s="33"/>
      <c r="MB73" s="33"/>
      <c r="ML73" s="33"/>
      <c r="MV73" s="33"/>
      <c r="NF73" s="33"/>
      <c r="NP73" s="33"/>
      <c r="NZ73" s="33"/>
      <c r="OJ73" s="33"/>
      <c r="OT73" s="33"/>
      <c r="PD73" s="33"/>
      <c r="PN73" s="33"/>
      <c r="PX73" s="33"/>
      <c r="QH73" s="33"/>
      <c r="QR73" s="33"/>
      <c r="RB73" s="33"/>
      <c r="RL73" s="33"/>
      <c r="RV73" s="33"/>
      <c r="SF73" s="33"/>
      <c r="SP73" s="33"/>
      <c r="SZ73" s="33"/>
      <c r="TJ73" s="33"/>
      <c r="TT73" s="33"/>
      <c r="UD73" s="33"/>
      <c r="UN73" s="33"/>
      <c r="UX73" s="33"/>
      <c r="VH73" s="33"/>
      <c r="VR73" s="33"/>
      <c r="WB73" s="33"/>
      <c r="WL73" s="33"/>
      <c r="WV73" s="33"/>
      <c r="XF73" s="33"/>
      <c r="XP73" s="33"/>
      <c r="XZ73" s="33"/>
      <c r="YJ73" s="33"/>
      <c r="YT73" s="33"/>
      <c r="ZD73" s="33"/>
      <c r="ZN73" s="33"/>
      <c r="ZX73" s="33"/>
      <c r="AAH73" s="33"/>
      <c r="AAR73" s="33"/>
      <c r="ABB73" s="33"/>
      <c r="ABL73" s="33"/>
      <c r="ABV73" s="33"/>
      <c r="ACF73" s="33"/>
      <c r="ACP73" s="33"/>
      <c r="ACZ73" s="33"/>
      <c r="ADJ73" s="33"/>
      <c r="ADT73" s="33"/>
      <c r="AED73" s="33"/>
      <c r="AEN73" s="33"/>
      <c r="AEX73" s="33"/>
      <c r="AFH73" s="33"/>
      <c r="AFR73" s="33"/>
      <c r="AGB73" s="33"/>
      <c r="AGL73" s="33"/>
      <c r="AGV73" s="33"/>
      <c r="AHF73" s="33"/>
      <c r="AHP73" s="33"/>
      <c r="AHZ73" s="33"/>
      <c r="AIJ73" s="33"/>
      <c r="AIT73" s="33"/>
      <c r="AJD73" s="33"/>
      <c r="AJN73" s="33"/>
      <c r="AJX73" s="33"/>
      <c r="AKH73" s="33"/>
      <c r="AKR73" s="33"/>
      <c r="ALB73" s="33"/>
      <c r="ALL73" s="33"/>
      <c r="ALV73" s="33"/>
      <c r="AMF73" s="33"/>
      <c r="AMP73" s="33"/>
      <c r="AMZ73" s="33"/>
      <c r="ANJ73" s="33"/>
      <c r="ANT73" s="33"/>
      <c r="AOD73" s="33"/>
      <c r="AON73" s="33"/>
      <c r="AOX73" s="33"/>
      <c r="APH73" s="33"/>
      <c r="APR73" s="33"/>
      <c r="AQB73" s="33"/>
      <c r="AQL73" s="33"/>
      <c r="AQV73" s="33"/>
      <c r="ARF73" s="33"/>
      <c r="ARP73" s="33"/>
      <c r="ARZ73" s="33"/>
      <c r="ASJ73" s="33"/>
      <c r="AST73" s="33"/>
      <c r="ATD73" s="33"/>
      <c r="ATN73" s="33"/>
      <c r="ATX73" s="33"/>
      <c r="AUH73" s="33"/>
      <c r="AUR73" s="33"/>
      <c r="AVB73" s="33"/>
      <c r="AVL73" s="33"/>
      <c r="AVV73" s="33"/>
      <c r="AWF73" s="33"/>
      <c r="AWP73" s="33"/>
      <c r="AWZ73" s="33"/>
      <c r="AXJ73" s="33"/>
      <c r="AXT73" s="33"/>
      <c r="AYD73" s="33"/>
      <c r="AYN73" s="33"/>
      <c r="AYX73" s="33"/>
      <c r="AZH73" s="33"/>
      <c r="AZR73" s="33"/>
      <c r="BAB73" s="33"/>
      <c r="BAL73" s="33"/>
      <c r="BAV73" s="33"/>
      <c r="BBF73" s="33"/>
      <c r="BBP73" s="33"/>
      <c r="BBZ73" s="33"/>
      <c r="BCJ73" s="33"/>
      <c r="BCT73" s="33"/>
      <c r="BDD73" s="33"/>
      <c r="BDN73" s="33"/>
      <c r="BDX73" s="33"/>
      <c r="BEH73" s="33"/>
      <c r="BER73" s="33"/>
      <c r="BFB73" s="33"/>
      <c r="BFL73" s="33"/>
      <c r="BFV73" s="33"/>
      <c r="BGF73" s="33"/>
      <c r="BGP73" s="33"/>
      <c r="BGZ73" s="33"/>
      <c r="BHJ73" s="33"/>
      <c r="BHT73" s="33"/>
      <c r="BID73" s="33"/>
      <c r="BIN73" s="33"/>
      <c r="BIX73" s="33"/>
      <c r="BJH73" s="33"/>
      <c r="BJR73" s="33"/>
      <c r="BKB73" s="33"/>
      <c r="BKL73" s="33"/>
      <c r="BKV73" s="33"/>
      <c r="BLF73" s="33"/>
      <c r="BLP73" s="33"/>
      <c r="BLZ73" s="33"/>
      <c r="BMJ73" s="33"/>
      <c r="BMT73" s="33"/>
      <c r="BND73" s="33"/>
      <c r="BNN73" s="33"/>
      <c r="BNX73" s="33"/>
      <c r="BOH73" s="33"/>
      <c r="BOR73" s="33"/>
      <c r="BPB73" s="33"/>
      <c r="BPL73" s="33"/>
      <c r="BPV73" s="33"/>
      <c r="BQF73" s="33"/>
      <c r="BQP73" s="33"/>
      <c r="BQZ73" s="33"/>
      <c r="BRJ73" s="33"/>
      <c r="BRT73" s="33"/>
      <c r="BSD73" s="33"/>
      <c r="BSN73" s="33"/>
      <c r="BSX73" s="33"/>
      <c r="BTH73" s="33"/>
      <c r="BTR73" s="33"/>
      <c r="BUB73" s="33"/>
      <c r="BUL73" s="33"/>
      <c r="BUV73" s="33"/>
      <c r="BVF73" s="33"/>
      <c r="BVP73" s="33"/>
      <c r="BVZ73" s="33"/>
      <c r="BWJ73" s="33"/>
      <c r="BWT73" s="33"/>
      <c r="BXD73" s="33"/>
      <c r="BXN73" s="33"/>
      <c r="BXX73" s="33"/>
      <c r="BYH73" s="33"/>
      <c r="BYR73" s="33"/>
      <c r="BZB73" s="33"/>
      <c r="BZL73" s="33"/>
      <c r="BZV73" s="33"/>
      <c r="CAF73" s="33"/>
      <c r="CAP73" s="33"/>
      <c r="CAZ73" s="33"/>
      <c r="CBJ73" s="33"/>
      <c r="CBT73" s="33"/>
      <c r="CCD73" s="33"/>
      <c r="CCN73" s="33"/>
      <c r="CCX73" s="33"/>
      <c r="CDH73" s="33"/>
      <c r="CDR73" s="33"/>
      <c r="CEB73" s="33"/>
      <c r="CEL73" s="33"/>
      <c r="CEV73" s="33"/>
      <c r="CFF73" s="33"/>
      <c r="CFP73" s="33"/>
      <c r="CFZ73" s="33"/>
      <c r="CGJ73" s="33"/>
      <c r="CGT73" s="33"/>
      <c r="CHD73" s="33"/>
      <c r="CHN73" s="33"/>
      <c r="CHX73" s="33"/>
      <c r="CIH73" s="33"/>
      <c r="CIR73" s="33"/>
      <c r="CJB73" s="33"/>
      <c r="CJL73" s="33"/>
      <c r="CJV73" s="33"/>
      <c r="CKF73" s="33"/>
      <c r="CKP73" s="33"/>
      <c r="CKZ73" s="33"/>
      <c r="CLJ73" s="33"/>
      <c r="CLT73" s="33"/>
      <c r="CMD73" s="33"/>
      <c r="CMN73" s="33"/>
      <c r="CMX73" s="33"/>
      <c r="CNH73" s="33"/>
      <c r="CNR73" s="33"/>
      <c r="COB73" s="33"/>
      <c r="COL73" s="33"/>
      <c r="COV73" s="33"/>
      <c r="CPF73" s="33"/>
      <c r="CPP73" s="33"/>
      <c r="CPZ73" s="33"/>
      <c r="CQJ73" s="33"/>
      <c r="CQT73" s="33"/>
      <c r="CRD73" s="33"/>
      <c r="CRN73" s="33"/>
      <c r="CRX73" s="33"/>
      <c r="CSH73" s="33"/>
      <c r="CSR73" s="33"/>
      <c r="CTB73" s="33"/>
      <c r="CTL73" s="33"/>
      <c r="CTV73" s="33"/>
    </row>
    <row r="74" s="16" customFormat="1" customHeight="1" spans="1:1020 1030:2040 2050:2570">
      <c r="A74" s="57"/>
      <c r="B74" s="52"/>
      <c r="C74" s="52"/>
      <c r="D74" s="52"/>
      <c r="E74" s="52"/>
      <c r="F74" s="58" t="str">
        <f>IFERROR(VLOOKUP(E74,日报!E:G,2,0),"")</f>
        <v/>
      </c>
      <c r="G74" s="52"/>
      <c r="H74" s="53" t="str">
        <f>IFERROR(VLOOKUP(E74,基础数据!$E$4:$H$4,4,0),"")</f>
        <v/>
      </c>
      <c r="I74" s="53" t="str">
        <f>IFERROR(VLOOKUP(E74,基础数据!$E$4:$H$4,3,0),"")</f>
        <v/>
      </c>
      <c r="J74" s="52"/>
      <c r="K74" s="54" t="str">
        <f t="shared" si="1"/>
        <v/>
      </c>
      <c r="T74" s="33"/>
      <c r="AD74" s="33"/>
      <c r="AN74" s="33"/>
      <c r="AX74" s="33"/>
      <c r="BH74" s="33"/>
      <c r="BR74" s="33"/>
      <c r="CB74" s="33"/>
      <c r="CL74" s="33"/>
      <c r="CV74" s="33"/>
      <c r="DF74" s="33"/>
      <c r="DP74" s="33"/>
      <c r="DZ74" s="33"/>
      <c r="EJ74" s="33"/>
      <c r="ET74" s="33"/>
      <c r="FD74" s="33"/>
      <c r="FN74" s="33"/>
      <c r="FX74" s="33"/>
      <c r="GH74" s="33"/>
      <c r="GR74" s="33"/>
      <c r="HB74" s="33"/>
      <c r="HL74" s="33"/>
      <c r="HV74" s="33"/>
      <c r="IF74" s="33"/>
      <c r="IP74" s="33"/>
      <c r="IZ74" s="33"/>
      <c r="JJ74" s="33"/>
      <c r="JT74" s="33"/>
      <c r="KD74" s="33"/>
      <c r="KN74" s="33"/>
      <c r="KX74" s="33"/>
      <c r="LH74" s="33"/>
      <c r="LR74" s="33"/>
      <c r="MB74" s="33"/>
      <c r="ML74" s="33"/>
      <c r="MV74" s="33"/>
      <c r="NF74" s="33"/>
      <c r="NP74" s="33"/>
      <c r="NZ74" s="33"/>
      <c r="OJ74" s="33"/>
      <c r="OT74" s="33"/>
      <c r="PD74" s="33"/>
      <c r="PN74" s="33"/>
      <c r="PX74" s="33"/>
      <c r="QH74" s="33"/>
      <c r="QR74" s="33"/>
      <c r="RB74" s="33"/>
      <c r="RL74" s="33"/>
      <c r="RV74" s="33"/>
      <c r="SF74" s="33"/>
      <c r="SP74" s="33"/>
      <c r="SZ74" s="33"/>
      <c r="TJ74" s="33"/>
      <c r="TT74" s="33"/>
      <c r="UD74" s="33"/>
      <c r="UN74" s="33"/>
      <c r="UX74" s="33"/>
      <c r="VH74" s="33"/>
      <c r="VR74" s="33"/>
      <c r="WB74" s="33"/>
      <c r="WL74" s="33"/>
      <c r="WV74" s="33"/>
      <c r="XF74" s="33"/>
      <c r="XP74" s="33"/>
      <c r="XZ74" s="33"/>
      <c r="YJ74" s="33"/>
      <c r="YT74" s="33"/>
      <c r="ZD74" s="33"/>
      <c r="ZN74" s="33"/>
      <c r="ZX74" s="33"/>
      <c r="AAH74" s="33"/>
      <c r="AAR74" s="33"/>
      <c r="ABB74" s="33"/>
      <c r="ABL74" s="33"/>
      <c r="ABV74" s="33"/>
      <c r="ACF74" s="33"/>
      <c r="ACP74" s="33"/>
      <c r="ACZ74" s="33"/>
      <c r="ADJ74" s="33"/>
      <c r="ADT74" s="33"/>
      <c r="AED74" s="33"/>
      <c r="AEN74" s="33"/>
      <c r="AEX74" s="33"/>
      <c r="AFH74" s="33"/>
      <c r="AFR74" s="33"/>
      <c r="AGB74" s="33"/>
      <c r="AGL74" s="33"/>
      <c r="AGV74" s="33"/>
      <c r="AHF74" s="33"/>
      <c r="AHP74" s="33"/>
      <c r="AHZ74" s="33"/>
      <c r="AIJ74" s="33"/>
      <c r="AIT74" s="33"/>
      <c r="AJD74" s="33"/>
      <c r="AJN74" s="33"/>
      <c r="AJX74" s="33"/>
      <c r="AKH74" s="33"/>
      <c r="AKR74" s="33"/>
      <c r="ALB74" s="33"/>
      <c r="ALL74" s="33"/>
      <c r="ALV74" s="33"/>
      <c r="AMF74" s="33"/>
      <c r="AMP74" s="33"/>
      <c r="AMZ74" s="33"/>
      <c r="ANJ74" s="33"/>
      <c r="ANT74" s="33"/>
      <c r="AOD74" s="33"/>
      <c r="AON74" s="33"/>
      <c r="AOX74" s="33"/>
      <c r="APH74" s="33"/>
      <c r="APR74" s="33"/>
      <c r="AQB74" s="33"/>
      <c r="AQL74" s="33"/>
      <c r="AQV74" s="33"/>
      <c r="ARF74" s="33"/>
      <c r="ARP74" s="33"/>
      <c r="ARZ74" s="33"/>
      <c r="ASJ74" s="33"/>
      <c r="AST74" s="33"/>
      <c r="ATD74" s="33"/>
      <c r="ATN74" s="33"/>
      <c r="ATX74" s="33"/>
      <c r="AUH74" s="33"/>
      <c r="AUR74" s="33"/>
      <c r="AVB74" s="33"/>
      <c r="AVL74" s="33"/>
      <c r="AVV74" s="33"/>
      <c r="AWF74" s="33"/>
      <c r="AWP74" s="33"/>
      <c r="AWZ74" s="33"/>
      <c r="AXJ74" s="33"/>
      <c r="AXT74" s="33"/>
      <c r="AYD74" s="33"/>
      <c r="AYN74" s="33"/>
      <c r="AYX74" s="33"/>
      <c r="AZH74" s="33"/>
      <c r="AZR74" s="33"/>
      <c r="BAB74" s="33"/>
      <c r="BAL74" s="33"/>
      <c r="BAV74" s="33"/>
      <c r="BBF74" s="33"/>
      <c r="BBP74" s="33"/>
      <c r="BBZ74" s="33"/>
      <c r="BCJ74" s="33"/>
      <c r="BCT74" s="33"/>
      <c r="BDD74" s="33"/>
      <c r="BDN74" s="33"/>
      <c r="BDX74" s="33"/>
      <c r="BEH74" s="33"/>
      <c r="BER74" s="33"/>
      <c r="BFB74" s="33"/>
      <c r="BFL74" s="33"/>
      <c r="BFV74" s="33"/>
      <c r="BGF74" s="33"/>
      <c r="BGP74" s="33"/>
      <c r="BGZ74" s="33"/>
      <c r="BHJ74" s="33"/>
      <c r="BHT74" s="33"/>
      <c r="BID74" s="33"/>
      <c r="BIN74" s="33"/>
      <c r="BIX74" s="33"/>
      <c r="BJH74" s="33"/>
      <c r="BJR74" s="33"/>
      <c r="BKB74" s="33"/>
      <c r="BKL74" s="33"/>
      <c r="BKV74" s="33"/>
      <c r="BLF74" s="33"/>
      <c r="BLP74" s="33"/>
      <c r="BLZ74" s="33"/>
      <c r="BMJ74" s="33"/>
      <c r="BMT74" s="33"/>
      <c r="BND74" s="33"/>
      <c r="BNN74" s="33"/>
      <c r="BNX74" s="33"/>
      <c r="BOH74" s="33"/>
      <c r="BOR74" s="33"/>
      <c r="BPB74" s="33"/>
      <c r="BPL74" s="33"/>
      <c r="BPV74" s="33"/>
      <c r="BQF74" s="33"/>
      <c r="BQP74" s="33"/>
      <c r="BQZ74" s="33"/>
      <c r="BRJ74" s="33"/>
      <c r="BRT74" s="33"/>
      <c r="BSD74" s="33"/>
      <c r="BSN74" s="33"/>
      <c r="BSX74" s="33"/>
      <c r="BTH74" s="33"/>
      <c r="BTR74" s="33"/>
      <c r="BUB74" s="33"/>
      <c r="BUL74" s="33"/>
      <c r="BUV74" s="33"/>
      <c r="BVF74" s="33"/>
      <c r="BVP74" s="33"/>
      <c r="BVZ74" s="33"/>
      <c r="BWJ74" s="33"/>
      <c r="BWT74" s="33"/>
      <c r="BXD74" s="33"/>
      <c r="BXN74" s="33"/>
      <c r="BXX74" s="33"/>
      <c r="BYH74" s="33"/>
      <c r="BYR74" s="33"/>
      <c r="BZB74" s="33"/>
      <c r="BZL74" s="33"/>
      <c r="BZV74" s="33"/>
      <c r="CAF74" s="33"/>
      <c r="CAP74" s="33"/>
      <c r="CAZ74" s="33"/>
      <c r="CBJ74" s="33"/>
      <c r="CBT74" s="33"/>
      <c r="CCD74" s="33"/>
      <c r="CCN74" s="33"/>
      <c r="CCX74" s="33"/>
      <c r="CDH74" s="33"/>
      <c r="CDR74" s="33"/>
      <c r="CEB74" s="33"/>
      <c r="CEL74" s="33"/>
      <c r="CEV74" s="33"/>
      <c r="CFF74" s="33"/>
      <c r="CFP74" s="33"/>
      <c r="CFZ74" s="33"/>
      <c r="CGJ74" s="33"/>
      <c r="CGT74" s="33"/>
      <c r="CHD74" s="33"/>
      <c r="CHN74" s="33"/>
      <c r="CHX74" s="33"/>
      <c r="CIH74" s="33"/>
      <c r="CIR74" s="33"/>
      <c r="CJB74" s="33"/>
      <c r="CJL74" s="33"/>
      <c r="CJV74" s="33"/>
      <c r="CKF74" s="33"/>
      <c r="CKP74" s="33"/>
      <c r="CKZ74" s="33"/>
      <c r="CLJ74" s="33"/>
      <c r="CLT74" s="33"/>
      <c r="CMD74" s="33"/>
      <c r="CMN74" s="33"/>
      <c r="CMX74" s="33"/>
      <c r="CNH74" s="33"/>
      <c r="CNR74" s="33"/>
      <c r="COB74" s="33"/>
      <c r="COL74" s="33"/>
      <c r="COV74" s="33"/>
      <c r="CPF74" s="33"/>
      <c r="CPP74" s="33"/>
      <c r="CPZ74" s="33"/>
      <c r="CQJ74" s="33"/>
      <c r="CQT74" s="33"/>
      <c r="CRD74" s="33"/>
      <c r="CRN74" s="33"/>
      <c r="CRX74" s="33"/>
      <c r="CSH74" s="33"/>
      <c r="CSR74" s="33"/>
      <c r="CTB74" s="33"/>
      <c r="CTL74" s="33"/>
      <c r="CTV74" s="33"/>
    </row>
    <row r="75" s="16" customFormat="1" customHeight="1" spans="1:1020 1030:2040 2050:2570">
      <c r="A75" s="57"/>
      <c r="B75" s="52"/>
      <c r="C75" s="52"/>
      <c r="D75" s="52"/>
      <c r="E75" s="52"/>
      <c r="F75" s="58" t="str">
        <f>IFERROR(VLOOKUP(E75,日报!E:G,2,0),"")</f>
        <v/>
      </c>
      <c r="G75" s="52"/>
      <c r="H75" s="53" t="str">
        <f>IFERROR(VLOOKUP(E75,基础数据!$E$4:$H$4,4,0),"")</f>
        <v/>
      </c>
      <c r="I75" s="53" t="str">
        <f>IFERROR(VLOOKUP(E75,基础数据!$E$4:$H$4,3,0),"")</f>
        <v/>
      </c>
      <c r="J75" s="52"/>
      <c r="K75" s="54" t="str">
        <f t="shared" si="1"/>
        <v/>
      </c>
      <c r="T75" s="33"/>
      <c r="AD75" s="33"/>
      <c r="AN75" s="33"/>
      <c r="AX75" s="33"/>
      <c r="BH75" s="33"/>
      <c r="BR75" s="33"/>
      <c r="CB75" s="33"/>
      <c r="CL75" s="33"/>
      <c r="CV75" s="33"/>
      <c r="DF75" s="33"/>
      <c r="DP75" s="33"/>
      <c r="DZ75" s="33"/>
      <c r="EJ75" s="33"/>
      <c r="ET75" s="33"/>
      <c r="FD75" s="33"/>
      <c r="FN75" s="33"/>
      <c r="FX75" s="33"/>
      <c r="GH75" s="33"/>
      <c r="GR75" s="33"/>
      <c r="HB75" s="33"/>
      <c r="HL75" s="33"/>
      <c r="HV75" s="33"/>
      <c r="IF75" s="33"/>
      <c r="IP75" s="33"/>
      <c r="IZ75" s="33"/>
      <c r="JJ75" s="33"/>
      <c r="JT75" s="33"/>
      <c r="KD75" s="33"/>
      <c r="KN75" s="33"/>
      <c r="KX75" s="33"/>
      <c r="LH75" s="33"/>
      <c r="LR75" s="33"/>
      <c r="MB75" s="33"/>
      <c r="ML75" s="33"/>
      <c r="MV75" s="33"/>
      <c r="NF75" s="33"/>
      <c r="NP75" s="33"/>
      <c r="NZ75" s="33"/>
      <c r="OJ75" s="33"/>
      <c r="OT75" s="33"/>
      <c r="PD75" s="33"/>
      <c r="PN75" s="33"/>
      <c r="PX75" s="33"/>
      <c r="QH75" s="33"/>
      <c r="QR75" s="33"/>
      <c r="RB75" s="33"/>
      <c r="RL75" s="33"/>
      <c r="RV75" s="33"/>
      <c r="SF75" s="33"/>
      <c r="SP75" s="33"/>
      <c r="SZ75" s="33"/>
      <c r="TJ75" s="33"/>
      <c r="TT75" s="33"/>
      <c r="UD75" s="33"/>
      <c r="UN75" s="33"/>
      <c r="UX75" s="33"/>
      <c r="VH75" s="33"/>
      <c r="VR75" s="33"/>
      <c r="WB75" s="33"/>
      <c r="WL75" s="33"/>
      <c r="WV75" s="33"/>
      <c r="XF75" s="33"/>
      <c r="XP75" s="33"/>
      <c r="XZ75" s="33"/>
      <c r="YJ75" s="33"/>
      <c r="YT75" s="33"/>
      <c r="ZD75" s="33"/>
      <c r="ZN75" s="33"/>
      <c r="ZX75" s="33"/>
      <c r="AAH75" s="33"/>
      <c r="AAR75" s="33"/>
      <c r="ABB75" s="33"/>
      <c r="ABL75" s="33"/>
      <c r="ABV75" s="33"/>
      <c r="ACF75" s="33"/>
      <c r="ACP75" s="33"/>
      <c r="ACZ75" s="33"/>
      <c r="ADJ75" s="33"/>
      <c r="ADT75" s="33"/>
      <c r="AED75" s="33"/>
      <c r="AEN75" s="33"/>
      <c r="AEX75" s="33"/>
      <c r="AFH75" s="33"/>
      <c r="AFR75" s="33"/>
      <c r="AGB75" s="33"/>
      <c r="AGL75" s="33"/>
      <c r="AGV75" s="33"/>
      <c r="AHF75" s="33"/>
      <c r="AHP75" s="33"/>
      <c r="AHZ75" s="33"/>
      <c r="AIJ75" s="33"/>
      <c r="AIT75" s="33"/>
      <c r="AJD75" s="33"/>
      <c r="AJN75" s="33"/>
      <c r="AJX75" s="33"/>
      <c r="AKH75" s="33"/>
      <c r="AKR75" s="33"/>
      <c r="ALB75" s="33"/>
      <c r="ALL75" s="33"/>
      <c r="ALV75" s="33"/>
      <c r="AMF75" s="33"/>
      <c r="AMP75" s="33"/>
      <c r="AMZ75" s="33"/>
      <c r="ANJ75" s="33"/>
      <c r="ANT75" s="33"/>
      <c r="AOD75" s="33"/>
      <c r="AON75" s="33"/>
      <c r="AOX75" s="33"/>
      <c r="APH75" s="33"/>
      <c r="APR75" s="33"/>
      <c r="AQB75" s="33"/>
      <c r="AQL75" s="33"/>
      <c r="AQV75" s="33"/>
      <c r="ARF75" s="33"/>
      <c r="ARP75" s="33"/>
      <c r="ARZ75" s="33"/>
      <c r="ASJ75" s="33"/>
      <c r="AST75" s="33"/>
      <c r="ATD75" s="33"/>
      <c r="ATN75" s="33"/>
      <c r="ATX75" s="33"/>
      <c r="AUH75" s="33"/>
      <c r="AUR75" s="33"/>
      <c r="AVB75" s="33"/>
      <c r="AVL75" s="33"/>
      <c r="AVV75" s="33"/>
      <c r="AWF75" s="33"/>
      <c r="AWP75" s="33"/>
      <c r="AWZ75" s="33"/>
      <c r="AXJ75" s="33"/>
      <c r="AXT75" s="33"/>
      <c r="AYD75" s="33"/>
      <c r="AYN75" s="33"/>
      <c r="AYX75" s="33"/>
      <c r="AZH75" s="33"/>
      <c r="AZR75" s="33"/>
      <c r="BAB75" s="33"/>
      <c r="BAL75" s="33"/>
      <c r="BAV75" s="33"/>
      <c r="BBF75" s="33"/>
      <c r="BBP75" s="33"/>
      <c r="BBZ75" s="33"/>
      <c r="BCJ75" s="33"/>
      <c r="BCT75" s="33"/>
      <c r="BDD75" s="33"/>
      <c r="BDN75" s="33"/>
      <c r="BDX75" s="33"/>
      <c r="BEH75" s="33"/>
      <c r="BER75" s="33"/>
      <c r="BFB75" s="33"/>
      <c r="BFL75" s="33"/>
      <c r="BFV75" s="33"/>
      <c r="BGF75" s="33"/>
      <c r="BGP75" s="33"/>
      <c r="BGZ75" s="33"/>
      <c r="BHJ75" s="33"/>
      <c r="BHT75" s="33"/>
      <c r="BID75" s="33"/>
      <c r="BIN75" s="33"/>
      <c r="BIX75" s="33"/>
      <c r="BJH75" s="33"/>
      <c r="BJR75" s="33"/>
      <c r="BKB75" s="33"/>
      <c r="BKL75" s="33"/>
      <c r="BKV75" s="33"/>
      <c r="BLF75" s="33"/>
      <c r="BLP75" s="33"/>
      <c r="BLZ75" s="33"/>
      <c r="BMJ75" s="33"/>
      <c r="BMT75" s="33"/>
      <c r="BND75" s="33"/>
      <c r="BNN75" s="33"/>
      <c r="BNX75" s="33"/>
      <c r="BOH75" s="33"/>
      <c r="BOR75" s="33"/>
      <c r="BPB75" s="33"/>
      <c r="BPL75" s="33"/>
      <c r="BPV75" s="33"/>
      <c r="BQF75" s="33"/>
      <c r="BQP75" s="33"/>
      <c r="BQZ75" s="33"/>
      <c r="BRJ75" s="33"/>
      <c r="BRT75" s="33"/>
      <c r="BSD75" s="33"/>
      <c r="BSN75" s="33"/>
      <c r="BSX75" s="33"/>
      <c r="BTH75" s="33"/>
      <c r="BTR75" s="33"/>
      <c r="BUB75" s="33"/>
      <c r="BUL75" s="33"/>
      <c r="BUV75" s="33"/>
      <c r="BVF75" s="33"/>
      <c r="BVP75" s="33"/>
      <c r="BVZ75" s="33"/>
      <c r="BWJ75" s="33"/>
      <c r="BWT75" s="33"/>
      <c r="BXD75" s="33"/>
      <c r="BXN75" s="33"/>
      <c r="BXX75" s="33"/>
      <c r="BYH75" s="33"/>
      <c r="BYR75" s="33"/>
      <c r="BZB75" s="33"/>
      <c r="BZL75" s="33"/>
      <c r="BZV75" s="33"/>
      <c r="CAF75" s="33"/>
      <c r="CAP75" s="33"/>
      <c r="CAZ75" s="33"/>
      <c r="CBJ75" s="33"/>
      <c r="CBT75" s="33"/>
      <c r="CCD75" s="33"/>
      <c r="CCN75" s="33"/>
      <c r="CCX75" s="33"/>
      <c r="CDH75" s="33"/>
      <c r="CDR75" s="33"/>
      <c r="CEB75" s="33"/>
      <c r="CEL75" s="33"/>
      <c r="CEV75" s="33"/>
      <c r="CFF75" s="33"/>
      <c r="CFP75" s="33"/>
      <c r="CFZ75" s="33"/>
      <c r="CGJ75" s="33"/>
      <c r="CGT75" s="33"/>
      <c r="CHD75" s="33"/>
      <c r="CHN75" s="33"/>
      <c r="CHX75" s="33"/>
      <c r="CIH75" s="33"/>
      <c r="CIR75" s="33"/>
      <c r="CJB75" s="33"/>
      <c r="CJL75" s="33"/>
      <c r="CJV75" s="33"/>
      <c r="CKF75" s="33"/>
      <c r="CKP75" s="33"/>
      <c r="CKZ75" s="33"/>
      <c r="CLJ75" s="33"/>
      <c r="CLT75" s="33"/>
      <c r="CMD75" s="33"/>
      <c r="CMN75" s="33"/>
      <c r="CMX75" s="33"/>
      <c r="CNH75" s="33"/>
      <c r="CNR75" s="33"/>
      <c r="COB75" s="33"/>
      <c r="COL75" s="33"/>
      <c r="COV75" s="33"/>
      <c r="CPF75" s="33"/>
      <c r="CPP75" s="33"/>
      <c r="CPZ75" s="33"/>
      <c r="CQJ75" s="33"/>
      <c r="CQT75" s="33"/>
      <c r="CRD75" s="33"/>
      <c r="CRN75" s="33"/>
      <c r="CRX75" s="33"/>
      <c r="CSH75" s="33"/>
      <c r="CSR75" s="33"/>
      <c r="CTB75" s="33"/>
      <c r="CTL75" s="33"/>
      <c r="CTV75" s="33"/>
    </row>
    <row r="76" s="16" customFormat="1" customHeight="1" spans="1:1020 1030:2040 2050:2570">
      <c r="A76" s="57"/>
      <c r="B76" s="52"/>
      <c r="C76" s="52"/>
      <c r="D76" s="52"/>
      <c r="E76" s="52"/>
      <c r="F76" s="58" t="str">
        <f>IFERROR(VLOOKUP(E76,日报!E:G,2,0),"")</f>
        <v/>
      </c>
      <c r="G76" s="52"/>
      <c r="H76" s="53" t="str">
        <f>IFERROR(VLOOKUP(E76,基础数据!$E$4:$H$4,4,0),"")</f>
        <v/>
      </c>
      <c r="I76" s="53" t="str">
        <f>IFERROR(VLOOKUP(E76,基础数据!$E$4:$H$4,3,0),"")</f>
        <v/>
      </c>
      <c r="J76" s="52"/>
      <c r="K76" s="54" t="str">
        <f t="shared" si="1"/>
        <v/>
      </c>
      <c r="T76" s="33"/>
      <c r="AD76" s="33"/>
      <c r="AN76" s="33"/>
      <c r="AX76" s="33"/>
      <c r="BH76" s="33"/>
      <c r="BR76" s="33"/>
      <c r="CB76" s="33"/>
      <c r="CL76" s="33"/>
      <c r="CV76" s="33"/>
      <c r="DF76" s="33"/>
      <c r="DP76" s="33"/>
      <c r="DZ76" s="33"/>
      <c r="EJ76" s="33"/>
      <c r="ET76" s="33"/>
      <c r="FD76" s="33"/>
      <c r="FN76" s="33"/>
      <c r="FX76" s="33"/>
      <c r="GH76" s="33"/>
      <c r="GR76" s="33"/>
      <c r="HB76" s="33"/>
      <c r="HL76" s="33"/>
      <c r="HV76" s="33"/>
      <c r="IF76" s="33"/>
      <c r="IP76" s="33"/>
      <c r="IZ76" s="33"/>
      <c r="JJ76" s="33"/>
      <c r="JT76" s="33"/>
      <c r="KD76" s="33"/>
      <c r="KN76" s="33"/>
      <c r="KX76" s="33"/>
      <c r="LH76" s="33"/>
      <c r="LR76" s="33"/>
      <c r="MB76" s="33"/>
      <c r="ML76" s="33"/>
      <c r="MV76" s="33"/>
      <c r="NF76" s="33"/>
      <c r="NP76" s="33"/>
      <c r="NZ76" s="33"/>
      <c r="OJ76" s="33"/>
      <c r="OT76" s="33"/>
      <c r="PD76" s="33"/>
      <c r="PN76" s="33"/>
      <c r="PX76" s="33"/>
      <c r="QH76" s="33"/>
      <c r="QR76" s="33"/>
      <c r="RB76" s="33"/>
      <c r="RL76" s="33"/>
      <c r="RV76" s="33"/>
      <c r="SF76" s="33"/>
      <c r="SP76" s="33"/>
      <c r="SZ76" s="33"/>
      <c r="TJ76" s="33"/>
      <c r="TT76" s="33"/>
      <c r="UD76" s="33"/>
      <c r="UN76" s="33"/>
      <c r="UX76" s="33"/>
      <c r="VH76" s="33"/>
      <c r="VR76" s="33"/>
      <c r="WB76" s="33"/>
      <c r="WL76" s="33"/>
      <c r="WV76" s="33"/>
      <c r="XF76" s="33"/>
      <c r="XP76" s="33"/>
      <c r="XZ76" s="33"/>
      <c r="YJ76" s="33"/>
      <c r="YT76" s="33"/>
      <c r="ZD76" s="33"/>
      <c r="ZN76" s="33"/>
      <c r="ZX76" s="33"/>
      <c r="AAH76" s="33"/>
      <c r="AAR76" s="33"/>
      <c r="ABB76" s="33"/>
      <c r="ABL76" s="33"/>
      <c r="ABV76" s="33"/>
      <c r="ACF76" s="33"/>
      <c r="ACP76" s="33"/>
      <c r="ACZ76" s="33"/>
      <c r="ADJ76" s="33"/>
      <c r="ADT76" s="33"/>
      <c r="AED76" s="33"/>
      <c r="AEN76" s="33"/>
      <c r="AEX76" s="33"/>
      <c r="AFH76" s="33"/>
      <c r="AFR76" s="33"/>
      <c r="AGB76" s="33"/>
      <c r="AGL76" s="33"/>
      <c r="AGV76" s="33"/>
      <c r="AHF76" s="33"/>
      <c r="AHP76" s="33"/>
      <c r="AHZ76" s="33"/>
      <c r="AIJ76" s="33"/>
      <c r="AIT76" s="33"/>
      <c r="AJD76" s="33"/>
      <c r="AJN76" s="33"/>
      <c r="AJX76" s="33"/>
      <c r="AKH76" s="33"/>
      <c r="AKR76" s="33"/>
      <c r="ALB76" s="33"/>
      <c r="ALL76" s="33"/>
      <c r="ALV76" s="33"/>
      <c r="AMF76" s="33"/>
      <c r="AMP76" s="33"/>
      <c r="AMZ76" s="33"/>
      <c r="ANJ76" s="33"/>
      <c r="ANT76" s="33"/>
      <c r="AOD76" s="33"/>
      <c r="AON76" s="33"/>
      <c r="AOX76" s="33"/>
      <c r="APH76" s="33"/>
      <c r="APR76" s="33"/>
      <c r="AQB76" s="33"/>
      <c r="AQL76" s="33"/>
      <c r="AQV76" s="33"/>
      <c r="ARF76" s="33"/>
      <c r="ARP76" s="33"/>
      <c r="ARZ76" s="33"/>
      <c r="ASJ76" s="33"/>
      <c r="AST76" s="33"/>
      <c r="ATD76" s="33"/>
      <c r="ATN76" s="33"/>
      <c r="ATX76" s="33"/>
      <c r="AUH76" s="33"/>
      <c r="AUR76" s="33"/>
      <c r="AVB76" s="33"/>
      <c r="AVL76" s="33"/>
      <c r="AVV76" s="33"/>
      <c r="AWF76" s="33"/>
      <c r="AWP76" s="33"/>
      <c r="AWZ76" s="33"/>
      <c r="AXJ76" s="33"/>
      <c r="AXT76" s="33"/>
      <c r="AYD76" s="33"/>
      <c r="AYN76" s="33"/>
      <c r="AYX76" s="33"/>
      <c r="AZH76" s="33"/>
      <c r="AZR76" s="33"/>
      <c r="BAB76" s="33"/>
      <c r="BAL76" s="33"/>
      <c r="BAV76" s="33"/>
      <c r="BBF76" s="33"/>
      <c r="BBP76" s="33"/>
      <c r="BBZ76" s="33"/>
      <c r="BCJ76" s="33"/>
      <c r="BCT76" s="33"/>
      <c r="BDD76" s="33"/>
      <c r="BDN76" s="33"/>
      <c r="BDX76" s="33"/>
      <c r="BEH76" s="33"/>
      <c r="BER76" s="33"/>
      <c r="BFB76" s="33"/>
      <c r="BFL76" s="33"/>
      <c r="BFV76" s="33"/>
      <c r="BGF76" s="33"/>
      <c r="BGP76" s="33"/>
      <c r="BGZ76" s="33"/>
      <c r="BHJ76" s="33"/>
      <c r="BHT76" s="33"/>
      <c r="BID76" s="33"/>
      <c r="BIN76" s="33"/>
      <c r="BIX76" s="33"/>
      <c r="BJH76" s="33"/>
      <c r="BJR76" s="33"/>
      <c r="BKB76" s="33"/>
      <c r="BKL76" s="33"/>
      <c r="BKV76" s="33"/>
      <c r="BLF76" s="33"/>
      <c r="BLP76" s="33"/>
      <c r="BLZ76" s="33"/>
      <c r="BMJ76" s="33"/>
      <c r="BMT76" s="33"/>
      <c r="BND76" s="33"/>
      <c r="BNN76" s="33"/>
      <c r="BNX76" s="33"/>
      <c r="BOH76" s="33"/>
      <c r="BOR76" s="33"/>
      <c r="BPB76" s="33"/>
      <c r="BPL76" s="33"/>
      <c r="BPV76" s="33"/>
      <c r="BQF76" s="33"/>
      <c r="BQP76" s="33"/>
      <c r="BQZ76" s="33"/>
      <c r="BRJ76" s="33"/>
      <c r="BRT76" s="33"/>
      <c r="BSD76" s="33"/>
      <c r="BSN76" s="33"/>
      <c r="BSX76" s="33"/>
      <c r="BTH76" s="33"/>
      <c r="BTR76" s="33"/>
      <c r="BUB76" s="33"/>
      <c r="BUL76" s="33"/>
      <c r="BUV76" s="33"/>
      <c r="BVF76" s="33"/>
      <c r="BVP76" s="33"/>
      <c r="BVZ76" s="33"/>
      <c r="BWJ76" s="33"/>
      <c r="BWT76" s="33"/>
      <c r="BXD76" s="33"/>
      <c r="BXN76" s="33"/>
      <c r="BXX76" s="33"/>
      <c r="BYH76" s="33"/>
      <c r="BYR76" s="33"/>
      <c r="BZB76" s="33"/>
      <c r="BZL76" s="33"/>
      <c r="BZV76" s="33"/>
      <c r="CAF76" s="33"/>
      <c r="CAP76" s="33"/>
      <c r="CAZ76" s="33"/>
      <c r="CBJ76" s="33"/>
      <c r="CBT76" s="33"/>
      <c r="CCD76" s="33"/>
      <c r="CCN76" s="33"/>
      <c r="CCX76" s="33"/>
      <c r="CDH76" s="33"/>
      <c r="CDR76" s="33"/>
      <c r="CEB76" s="33"/>
      <c r="CEL76" s="33"/>
      <c r="CEV76" s="33"/>
      <c r="CFF76" s="33"/>
      <c r="CFP76" s="33"/>
      <c r="CFZ76" s="33"/>
      <c r="CGJ76" s="33"/>
      <c r="CGT76" s="33"/>
      <c r="CHD76" s="33"/>
      <c r="CHN76" s="33"/>
      <c r="CHX76" s="33"/>
      <c r="CIH76" s="33"/>
      <c r="CIR76" s="33"/>
      <c r="CJB76" s="33"/>
      <c r="CJL76" s="33"/>
      <c r="CJV76" s="33"/>
      <c r="CKF76" s="33"/>
      <c r="CKP76" s="33"/>
      <c r="CKZ76" s="33"/>
      <c r="CLJ76" s="33"/>
      <c r="CLT76" s="33"/>
      <c r="CMD76" s="33"/>
      <c r="CMN76" s="33"/>
      <c r="CMX76" s="33"/>
      <c r="CNH76" s="33"/>
      <c r="CNR76" s="33"/>
      <c r="COB76" s="33"/>
      <c r="COL76" s="33"/>
      <c r="COV76" s="33"/>
      <c r="CPF76" s="33"/>
      <c r="CPP76" s="33"/>
      <c r="CPZ76" s="33"/>
      <c r="CQJ76" s="33"/>
      <c r="CQT76" s="33"/>
      <c r="CRD76" s="33"/>
      <c r="CRN76" s="33"/>
      <c r="CRX76" s="33"/>
      <c r="CSH76" s="33"/>
      <c r="CSR76" s="33"/>
      <c r="CTB76" s="33"/>
      <c r="CTL76" s="33"/>
      <c r="CTV76" s="33"/>
    </row>
    <row r="77" s="16" customFormat="1" customHeight="1" spans="1:1020 1030:2040 2050:2570">
      <c r="A77" s="57"/>
      <c r="B77" s="52"/>
      <c r="C77" s="52"/>
      <c r="D77" s="52"/>
      <c r="E77" s="52"/>
      <c r="F77" s="58" t="str">
        <f>IFERROR(VLOOKUP(E77,日报!E:G,2,0),"")</f>
        <v/>
      </c>
      <c r="G77" s="52"/>
      <c r="H77" s="53" t="str">
        <f>IFERROR(VLOOKUP(E77,基础数据!$E$4:$H$4,4,0),"")</f>
        <v/>
      </c>
      <c r="I77" s="53" t="str">
        <f>IFERROR(VLOOKUP(E77,基础数据!$E$4:$H$4,3,0),"")</f>
        <v/>
      </c>
      <c r="J77" s="52"/>
      <c r="K77" s="54" t="str">
        <f t="shared" si="1"/>
        <v/>
      </c>
      <c r="T77" s="33"/>
      <c r="AD77" s="33"/>
      <c r="AN77" s="33"/>
      <c r="AX77" s="33"/>
      <c r="BH77" s="33"/>
      <c r="BR77" s="33"/>
      <c r="CB77" s="33"/>
      <c r="CL77" s="33"/>
      <c r="CV77" s="33"/>
      <c r="DF77" s="33"/>
      <c r="DP77" s="33"/>
      <c r="DZ77" s="33"/>
      <c r="EJ77" s="33"/>
      <c r="ET77" s="33"/>
      <c r="FD77" s="33"/>
      <c r="FN77" s="33"/>
      <c r="FX77" s="33"/>
      <c r="GH77" s="33"/>
      <c r="GR77" s="33"/>
      <c r="HB77" s="33"/>
      <c r="HL77" s="33"/>
      <c r="HV77" s="33"/>
      <c r="IF77" s="33"/>
      <c r="IP77" s="33"/>
      <c r="IZ77" s="33"/>
      <c r="JJ77" s="33"/>
      <c r="JT77" s="33"/>
      <c r="KD77" s="33"/>
      <c r="KN77" s="33"/>
      <c r="KX77" s="33"/>
      <c r="LH77" s="33"/>
      <c r="LR77" s="33"/>
      <c r="MB77" s="33"/>
      <c r="ML77" s="33"/>
      <c r="MV77" s="33"/>
      <c r="NF77" s="33"/>
      <c r="NP77" s="33"/>
      <c r="NZ77" s="33"/>
      <c r="OJ77" s="33"/>
      <c r="OT77" s="33"/>
      <c r="PD77" s="33"/>
      <c r="PN77" s="33"/>
      <c r="PX77" s="33"/>
      <c r="QH77" s="33"/>
      <c r="QR77" s="33"/>
      <c r="RB77" s="33"/>
      <c r="RL77" s="33"/>
      <c r="RV77" s="33"/>
      <c r="SF77" s="33"/>
      <c r="SP77" s="33"/>
      <c r="SZ77" s="33"/>
      <c r="TJ77" s="33"/>
      <c r="TT77" s="33"/>
      <c r="UD77" s="33"/>
      <c r="UN77" s="33"/>
      <c r="UX77" s="33"/>
      <c r="VH77" s="33"/>
      <c r="VR77" s="33"/>
      <c r="WB77" s="33"/>
      <c r="WL77" s="33"/>
      <c r="WV77" s="33"/>
      <c r="XF77" s="33"/>
      <c r="XP77" s="33"/>
      <c r="XZ77" s="33"/>
      <c r="YJ77" s="33"/>
      <c r="YT77" s="33"/>
      <c r="ZD77" s="33"/>
      <c r="ZN77" s="33"/>
      <c r="ZX77" s="33"/>
      <c r="AAH77" s="33"/>
      <c r="AAR77" s="33"/>
      <c r="ABB77" s="33"/>
      <c r="ABL77" s="33"/>
      <c r="ABV77" s="33"/>
      <c r="ACF77" s="33"/>
      <c r="ACP77" s="33"/>
      <c r="ACZ77" s="33"/>
      <c r="ADJ77" s="33"/>
      <c r="ADT77" s="33"/>
      <c r="AED77" s="33"/>
      <c r="AEN77" s="33"/>
      <c r="AEX77" s="33"/>
      <c r="AFH77" s="33"/>
      <c r="AFR77" s="33"/>
      <c r="AGB77" s="33"/>
      <c r="AGL77" s="33"/>
      <c r="AGV77" s="33"/>
      <c r="AHF77" s="33"/>
      <c r="AHP77" s="33"/>
      <c r="AHZ77" s="33"/>
      <c r="AIJ77" s="33"/>
      <c r="AIT77" s="33"/>
      <c r="AJD77" s="33"/>
      <c r="AJN77" s="33"/>
      <c r="AJX77" s="33"/>
      <c r="AKH77" s="33"/>
      <c r="AKR77" s="33"/>
      <c r="ALB77" s="33"/>
      <c r="ALL77" s="33"/>
      <c r="ALV77" s="33"/>
      <c r="AMF77" s="33"/>
      <c r="AMP77" s="33"/>
      <c r="AMZ77" s="33"/>
      <c r="ANJ77" s="33"/>
      <c r="ANT77" s="33"/>
      <c r="AOD77" s="33"/>
      <c r="AON77" s="33"/>
      <c r="AOX77" s="33"/>
      <c r="APH77" s="33"/>
      <c r="APR77" s="33"/>
      <c r="AQB77" s="33"/>
      <c r="AQL77" s="33"/>
      <c r="AQV77" s="33"/>
      <c r="ARF77" s="33"/>
      <c r="ARP77" s="33"/>
      <c r="ARZ77" s="33"/>
      <c r="ASJ77" s="33"/>
      <c r="AST77" s="33"/>
      <c r="ATD77" s="33"/>
      <c r="ATN77" s="33"/>
      <c r="ATX77" s="33"/>
      <c r="AUH77" s="33"/>
      <c r="AUR77" s="33"/>
      <c r="AVB77" s="33"/>
      <c r="AVL77" s="33"/>
      <c r="AVV77" s="33"/>
      <c r="AWF77" s="33"/>
      <c r="AWP77" s="33"/>
      <c r="AWZ77" s="33"/>
      <c r="AXJ77" s="33"/>
      <c r="AXT77" s="33"/>
      <c r="AYD77" s="33"/>
      <c r="AYN77" s="33"/>
      <c r="AYX77" s="33"/>
      <c r="AZH77" s="33"/>
      <c r="AZR77" s="33"/>
      <c r="BAB77" s="33"/>
      <c r="BAL77" s="33"/>
      <c r="BAV77" s="33"/>
      <c r="BBF77" s="33"/>
      <c r="BBP77" s="33"/>
      <c r="BBZ77" s="33"/>
      <c r="BCJ77" s="33"/>
      <c r="BCT77" s="33"/>
      <c r="BDD77" s="33"/>
      <c r="BDN77" s="33"/>
      <c r="BDX77" s="33"/>
      <c r="BEH77" s="33"/>
      <c r="BER77" s="33"/>
      <c r="BFB77" s="33"/>
      <c r="BFL77" s="33"/>
      <c r="BFV77" s="33"/>
      <c r="BGF77" s="33"/>
      <c r="BGP77" s="33"/>
      <c r="BGZ77" s="33"/>
      <c r="BHJ77" s="33"/>
      <c r="BHT77" s="33"/>
      <c r="BID77" s="33"/>
      <c r="BIN77" s="33"/>
      <c r="BIX77" s="33"/>
      <c r="BJH77" s="33"/>
      <c r="BJR77" s="33"/>
      <c r="BKB77" s="33"/>
      <c r="BKL77" s="33"/>
      <c r="BKV77" s="33"/>
      <c r="BLF77" s="33"/>
      <c r="BLP77" s="33"/>
      <c r="BLZ77" s="33"/>
      <c r="BMJ77" s="33"/>
      <c r="BMT77" s="33"/>
      <c r="BND77" s="33"/>
      <c r="BNN77" s="33"/>
      <c r="BNX77" s="33"/>
      <c r="BOH77" s="33"/>
      <c r="BOR77" s="33"/>
      <c r="BPB77" s="33"/>
      <c r="BPL77" s="33"/>
      <c r="BPV77" s="33"/>
      <c r="BQF77" s="33"/>
      <c r="BQP77" s="33"/>
      <c r="BQZ77" s="33"/>
      <c r="BRJ77" s="33"/>
      <c r="BRT77" s="33"/>
      <c r="BSD77" s="33"/>
      <c r="BSN77" s="33"/>
      <c r="BSX77" s="33"/>
      <c r="BTH77" s="33"/>
      <c r="BTR77" s="33"/>
      <c r="BUB77" s="33"/>
      <c r="BUL77" s="33"/>
      <c r="BUV77" s="33"/>
      <c r="BVF77" s="33"/>
      <c r="BVP77" s="33"/>
      <c r="BVZ77" s="33"/>
      <c r="BWJ77" s="33"/>
      <c r="BWT77" s="33"/>
      <c r="BXD77" s="33"/>
      <c r="BXN77" s="33"/>
      <c r="BXX77" s="33"/>
      <c r="BYH77" s="33"/>
      <c r="BYR77" s="33"/>
      <c r="BZB77" s="33"/>
      <c r="BZL77" s="33"/>
      <c r="BZV77" s="33"/>
      <c r="CAF77" s="33"/>
      <c r="CAP77" s="33"/>
      <c r="CAZ77" s="33"/>
      <c r="CBJ77" s="33"/>
      <c r="CBT77" s="33"/>
      <c r="CCD77" s="33"/>
      <c r="CCN77" s="33"/>
      <c r="CCX77" s="33"/>
      <c r="CDH77" s="33"/>
      <c r="CDR77" s="33"/>
      <c r="CEB77" s="33"/>
      <c r="CEL77" s="33"/>
      <c r="CEV77" s="33"/>
      <c r="CFF77" s="33"/>
      <c r="CFP77" s="33"/>
      <c r="CFZ77" s="33"/>
      <c r="CGJ77" s="33"/>
      <c r="CGT77" s="33"/>
      <c r="CHD77" s="33"/>
      <c r="CHN77" s="33"/>
      <c r="CHX77" s="33"/>
      <c r="CIH77" s="33"/>
      <c r="CIR77" s="33"/>
      <c r="CJB77" s="33"/>
      <c r="CJL77" s="33"/>
      <c r="CJV77" s="33"/>
      <c r="CKF77" s="33"/>
      <c r="CKP77" s="33"/>
      <c r="CKZ77" s="33"/>
      <c r="CLJ77" s="33"/>
      <c r="CLT77" s="33"/>
      <c r="CMD77" s="33"/>
      <c r="CMN77" s="33"/>
      <c r="CMX77" s="33"/>
      <c r="CNH77" s="33"/>
      <c r="CNR77" s="33"/>
      <c r="COB77" s="33"/>
      <c r="COL77" s="33"/>
      <c r="COV77" s="33"/>
      <c r="CPF77" s="33"/>
      <c r="CPP77" s="33"/>
      <c r="CPZ77" s="33"/>
      <c r="CQJ77" s="33"/>
      <c r="CQT77" s="33"/>
      <c r="CRD77" s="33"/>
      <c r="CRN77" s="33"/>
      <c r="CRX77" s="33"/>
      <c r="CSH77" s="33"/>
      <c r="CSR77" s="33"/>
      <c r="CTB77" s="33"/>
      <c r="CTL77" s="33"/>
      <c r="CTV77" s="33"/>
    </row>
    <row r="78" s="16" customFormat="1" customHeight="1" spans="1:1020 1030:2040 2050:2570">
      <c r="A78" s="57"/>
      <c r="B78" s="52"/>
      <c r="C78" s="52"/>
      <c r="D78" s="52"/>
      <c r="E78" s="52"/>
      <c r="F78" s="58" t="str">
        <f>IFERROR(VLOOKUP(E78,日报!E:G,2,0),"")</f>
        <v/>
      </c>
      <c r="G78" s="52"/>
      <c r="H78" s="53" t="str">
        <f>IFERROR(VLOOKUP(E78,基础数据!$E$4:$H$4,4,0),"")</f>
        <v/>
      </c>
      <c r="I78" s="53" t="str">
        <f>IFERROR(VLOOKUP(E78,基础数据!$E$4:$H$4,3,0),"")</f>
        <v/>
      </c>
      <c r="J78" s="52"/>
      <c r="K78" s="54" t="str">
        <f t="shared" si="1"/>
        <v/>
      </c>
      <c r="T78" s="33"/>
      <c r="AD78" s="33"/>
      <c r="AN78" s="33"/>
      <c r="AX78" s="33"/>
      <c r="BH78" s="33"/>
      <c r="BR78" s="33"/>
      <c r="CB78" s="33"/>
      <c r="CL78" s="33"/>
      <c r="CV78" s="33"/>
      <c r="DF78" s="33"/>
      <c r="DP78" s="33"/>
      <c r="DZ78" s="33"/>
      <c r="EJ78" s="33"/>
      <c r="ET78" s="33"/>
      <c r="FD78" s="33"/>
      <c r="FN78" s="33"/>
      <c r="FX78" s="33"/>
      <c r="GH78" s="33"/>
      <c r="GR78" s="33"/>
      <c r="HB78" s="33"/>
      <c r="HL78" s="33"/>
      <c r="HV78" s="33"/>
      <c r="IF78" s="33"/>
      <c r="IP78" s="33"/>
      <c r="IZ78" s="33"/>
      <c r="JJ78" s="33"/>
      <c r="JT78" s="33"/>
      <c r="KD78" s="33"/>
      <c r="KN78" s="33"/>
      <c r="KX78" s="33"/>
      <c r="LH78" s="33"/>
      <c r="LR78" s="33"/>
      <c r="MB78" s="33"/>
      <c r="ML78" s="33"/>
      <c r="MV78" s="33"/>
      <c r="NF78" s="33"/>
      <c r="NP78" s="33"/>
      <c r="NZ78" s="33"/>
      <c r="OJ78" s="33"/>
      <c r="OT78" s="33"/>
      <c r="PD78" s="33"/>
      <c r="PN78" s="33"/>
      <c r="PX78" s="33"/>
      <c r="QH78" s="33"/>
      <c r="QR78" s="33"/>
      <c r="RB78" s="33"/>
      <c r="RL78" s="33"/>
      <c r="RV78" s="33"/>
      <c r="SF78" s="33"/>
      <c r="SP78" s="33"/>
      <c r="SZ78" s="33"/>
      <c r="TJ78" s="33"/>
      <c r="TT78" s="33"/>
      <c r="UD78" s="33"/>
      <c r="UN78" s="33"/>
      <c r="UX78" s="33"/>
      <c r="VH78" s="33"/>
      <c r="VR78" s="33"/>
      <c r="WB78" s="33"/>
      <c r="WL78" s="33"/>
      <c r="WV78" s="33"/>
      <c r="XF78" s="33"/>
      <c r="XP78" s="33"/>
      <c r="XZ78" s="33"/>
      <c r="YJ78" s="33"/>
      <c r="YT78" s="33"/>
      <c r="ZD78" s="33"/>
      <c r="ZN78" s="33"/>
      <c r="ZX78" s="33"/>
      <c r="AAH78" s="33"/>
      <c r="AAR78" s="33"/>
      <c r="ABB78" s="33"/>
      <c r="ABL78" s="33"/>
      <c r="ABV78" s="33"/>
      <c r="ACF78" s="33"/>
      <c r="ACP78" s="33"/>
      <c r="ACZ78" s="33"/>
      <c r="ADJ78" s="33"/>
      <c r="ADT78" s="33"/>
      <c r="AED78" s="33"/>
      <c r="AEN78" s="33"/>
      <c r="AEX78" s="33"/>
      <c r="AFH78" s="33"/>
      <c r="AFR78" s="33"/>
      <c r="AGB78" s="33"/>
      <c r="AGL78" s="33"/>
      <c r="AGV78" s="33"/>
      <c r="AHF78" s="33"/>
      <c r="AHP78" s="33"/>
      <c r="AHZ78" s="33"/>
      <c r="AIJ78" s="33"/>
      <c r="AIT78" s="33"/>
      <c r="AJD78" s="33"/>
      <c r="AJN78" s="33"/>
      <c r="AJX78" s="33"/>
      <c r="AKH78" s="33"/>
      <c r="AKR78" s="33"/>
      <c r="ALB78" s="33"/>
      <c r="ALL78" s="33"/>
      <c r="ALV78" s="33"/>
      <c r="AMF78" s="33"/>
      <c r="AMP78" s="33"/>
      <c r="AMZ78" s="33"/>
      <c r="ANJ78" s="33"/>
      <c r="ANT78" s="33"/>
      <c r="AOD78" s="33"/>
      <c r="AON78" s="33"/>
      <c r="AOX78" s="33"/>
      <c r="APH78" s="33"/>
      <c r="APR78" s="33"/>
      <c r="AQB78" s="33"/>
      <c r="AQL78" s="33"/>
      <c r="AQV78" s="33"/>
      <c r="ARF78" s="33"/>
      <c r="ARP78" s="33"/>
      <c r="ARZ78" s="33"/>
      <c r="ASJ78" s="33"/>
      <c r="AST78" s="33"/>
      <c r="ATD78" s="33"/>
      <c r="ATN78" s="33"/>
      <c r="ATX78" s="33"/>
      <c r="AUH78" s="33"/>
      <c r="AUR78" s="33"/>
      <c r="AVB78" s="33"/>
      <c r="AVL78" s="33"/>
      <c r="AVV78" s="33"/>
      <c r="AWF78" s="33"/>
      <c r="AWP78" s="33"/>
      <c r="AWZ78" s="33"/>
      <c r="AXJ78" s="33"/>
      <c r="AXT78" s="33"/>
      <c r="AYD78" s="33"/>
      <c r="AYN78" s="33"/>
      <c r="AYX78" s="33"/>
      <c r="AZH78" s="33"/>
      <c r="AZR78" s="33"/>
      <c r="BAB78" s="33"/>
      <c r="BAL78" s="33"/>
      <c r="BAV78" s="33"/>
      <c r="BBF78" s="33"/>
      <c r="BBP78" s="33"/>
      <c r="BBZ78" s="33"/>
      <c r="BCJ78" s="33"/>
      <c r="BCT78" s="33"/>
      <c r="BDD78" s="33"/>
      <c r="BDN78" s="33"/>
      <c r="BDX78" s="33"/>
      <c r="BEH78" s="33"/>
      <c r="BER78" s="33"/>
      <c r="BFB78" s="33"/>
      <c r="BFL78" s="33"/>
      <c r="BFV78" s="33"/>
      <c r="BGF78" s="33"/>
      <c r="BGP78" s="33"/>
      <c r="BGZ78" s="33"/>
      <c r="BHJ78" s="33"/>
      <c r="BHT78" s="33"/>
      <c r="BID78" s="33"/>
      <c r="BIN78" s="33"/>
      <c r="BIX78" s="33"/>
      <c r="BJH78" s="33"/>
      <c r="BJR78" s="33"/>
      <c r="BKB78" s="33"/>
      <c r="BKL78" s="33"/>
      <c r="BKV78" s="33"/>
      <c r="BLF78" s="33"/>
      <c r="BLP78" s="33"/>
      <c r="BLZ78" s="33"/>
      <c r="BMJ78" s="33"/>
      <c r="BMT78" s="33"/>
      <c r="BND78" s="33"/>
      <c r="BNN78" s="33"/>
      <c r="BNX78" s="33"/>
      <c r="BOH78" s="33"/>
      <c r="BOR78" s="33"/>
      <c r="BPB78" s="33"/>
      <c r="BPL78" s="33"/>
      <c r="BPV78" s="33"/>
      <c r="BQF78" s="33"/>
      <c r="BQP78" s="33"/>
      <c r="BQZ78" s="33"/>
      <c r="BRJ78" s="33"/>
      <c r="BRT78" s="33"/>
      <c r="BSD78" s="33"/>
      <c r="BSN78" s="33"/>
      <c r="BSX78" s="33"/>
      <c r="BTH78" s="33"/>
      <c r="BTR78" s="33"/>
      <c r="BUB78" s="33"/>
      <c r="BUL78" s="33"/>
      <c r="BUV78" s="33"/>
      <c r="BVF78" s="33"/>
      <c r="BVP78" s="33"/>
      <c r="BVZ78" s="33"/>
      <c r="BWJ78" s="33"/>
      <c r="BWT78" s="33"/>
      <c r="BXD78" s="33"/>
      <c r="BXN78" s="33"/>
      <c r="BXX78" s="33"/>
      <c r="BYH78" s="33"/>
      <c r="BYR78" s="33"/>
      <c r="BZB78" s="33"/>
      <c r="BZL78" s="33"/>
      <c r="BZV78" s="33"/>
      <c r="CAF78" s="33"/>
      <c r="CAP78" s="33"/>
      <c r="CAZ78" s="33"/>
      <c r="CBJ78" s="33"/>
      <c r="CBT78" s="33"/>
      <c r="CCD78" s="33"/>
      <c r="CCN78" s="33"/>
      <c r="CCX78" s="33"/>
      <c r="CDH78" s="33"/>
      <c r="CDR78" s="33"/>
      <c r="CEB78" s="33"/>
      <c r="CEL78" s="33"/>
      <c r="CEV78" s="33"/>
      <c r="CFF78" s="33"/>
      <c r="CFP78" s="33"/>
      <c r="CFZ78" s="33"/>
      <c r="CGJ78" s="33"/>
      <c r="CGT78" s="33"/>
      <c r="CHD78" s="33"/>
      <c r="CHN78" s="33"/>
      <c r="CHX78" s="33"/>
      <c r="CIH78" s="33"/>
      <c r="CIR78" s="33"/>
      <c r="CJB78" s="33"/>
      <c r="CJL78" s="33"/>
      <c r="CJV78" s="33"/>
      <c r="CKF78" s="33"/>
      <c r="CKP78" s="33"/>
      <c r="CKZ78" s="33"/>
      <c r="CLJ78" s="33"/>
      <c r="CLT78" s="33"/>
      <c r="CMD78" s="33"/>
      <c r="CMN78" s="33"/>
      <c r="CMX78" s="33"/>
      <c r="CNH78" s="33"/>
      <c r="CNR78" s="33"/>
      <c r="COB78" s="33"/>
      <c r="COL78" s="33"/>
      <c r="COV78" s="33"/>
      <c r="CPF78" s="33"/>
      <c r="CPP78" s="33"/>
      <c r="CPZ78" s="33"/>
      <c r="CQJ78" s="33"/>
      <c r="CQT78" s="33"/>
      <c r="CRD78" s="33"/>
      <c r="CRN78" s="33"/>
      <c r="CRX78" s="33"/>
      <c r="CSH78" s="33"/>
      <c r="CSR78" s="33"/>
      <c r="CTB78" s="33"/>
      <c r="CTL78" s="33"/>
      <c r="CTV78" s="33"/>
    </row>
    <row r="79" s="16" customFormat="1" customHeight="1" spans="1:1020 1030:2040 2050:2570">
      <c r="A79" s="57"/>
      <c r="B79" s="52"/>
      <c r="C79" s="52"/>
      <c r="D79" s="52"/>
      <c r="E79" s="52"/>
      <c r="F79" s="58" t="str">
        <f>IFERROR(VLOOKUP(E79,日报!E:G,2,0),"")</f>
        <v/>
      </c>
      <c r="G79" s="52"/>
      <c r="H79" s="53" t="str">
        <f>IFERROR(VLOOKUP(E79,基础数据!$E$4:$H$4,4,0),"")</f>
        <v/>
      </c>
      <c r="I79" s="53" t="str">
        <f>IFERROR(VLOOKUP(E79,基础数据!$E$4:$H$4,3,0),"")</f>
        <v/>
      </c>
      <c r="J79" s="52"/>
      <c r="K79" s="54" t="str">
        <f t="shared" si="1"/>
        <v/>
      </c>
      <c r="T79" s="33"/>
      <c r="AD79" s="33"/>
      <c r="AN79" s="33"/>
      <c r="AX79" s="33"/>
      <c r="BH79" s="33"/>
      <c r="BR79" s="33"/>
      <c r="CB79" s="33"/>
      <c r="CL79" s="33"/>
      <c r="CV79" s="33"/>
      <c r="DF79" s="33"/>
      <c r="DP79" s="33"/>
      <c r="DZ79" s="33"/>
      <c r="EJ79" s="33"/>
      <c r="ET79" s="33"/>
      <c r="FD79" s="33"/>
      <c r="FN79" s="33"/>
      <c r="FX79" s="33"/>
      <c r="GH79" s="33"/>
      <c r="GR79" s="33"/>
      <c r="HB79" s="33"/>
      <c r="HL79" s="33"/>
      <c r="HV79" s="33"/>
      <c r="IF79" s="33"/>
      <c r="IP79" s="33"/>
      <c r="IZ79" s="33"/>
      <c r="JJ79" s="33"/>
      <c r="JT79" s="33"/>
      <c r="KD79" s="33"/>
      <c r="KN79" s="33"/>
      <c r="KX79" s="33"/>
      <c r="LH79" s="33"/>
      <c r="LR79" s="33"/>
      <c r="MB79" s="33"/>
      <c r="ML79" s="33"/>
      <c r="MV79" s="33"/>
      <c r="NF79" s="33"/>
      <c r="NP79" s="33"/>
      <c r="NZ79" s="33"/>
      <c r="OJ79" s="33"/>
      <c r="OT79" s="33"/>
      <c r="PD79" s="33"/>
      <c r="PN79" s="33"/>
      <c r="PX79" s="33"/>
      <c r="QH79" s="33"/>
      <c r="QR79" s="33"/>
      <c r="RB79" s="33"/>
      <c r="RL79" s="33"/>
      <c r="RV79" s="33"/>
      <c r="SF79" s="33"/>
      <c r="SP79" s="33"/>
      <c r="SZ79" s="33"/>
      <c r="TJ79" s="33"/>
      <c r="TT79" s="33"/>
      <c r="UD79" s="33"/>
      <c r="UN79" s="33"/>
      <c r="UX79" s="33"/>
      <c r="VH79" s="33"/>
      <c r="VR79" s="33"/>
      <c r="WB79" s="33"/>
      <c r="WL79" s="33"/>
      <c r="WV79" s="33"/>
      <c r="XF79" s="33"/>
      <c r="XP79" s="33"/>
      <c r="XZ79" s="33"/>
      <c r="YJ79" s="33"/>
      <c r="YT79" s="33"/>
      <c r="ZD79" s="33"/>
      <c r="ZN79" s="33"/>
      <c r="ZX79" s="33"/>
      <c r="AAH79" s="33"/>
      <c r="AAR79" s="33"/>
      <c r="ABB79" s="33"/>
      <c r="ABL79" s="33"/>
      <c r="ABV79" s="33"/>
      <c r="ACF79" s="33"/>
      <c r="ACP79" s="33"/>
      <c r="ACZ79" s="33"/>
      <c r="ADJ79" s="33"/>
      <c r="ADT79" s="33"/>
      <c r="AED79" s="33"/>
      <c r="AEN79" s="33"/>
      <c r="AEX79" s="33"/>
      <c r="AFH79" s="33"/>
      <c r="AFR79" s="33"/>
      <c r="AGB79" s="33"/>
      <c r="AGL79" s="33"/>
      <c r="AGV79" s="33"/>
      <c r="AHF79" s="33"/>
      <c r="AHP79" s="33"/>
      <c r="AHZ79" s="33"/>
      <c r="AIJ79" s="33"/>
      <c r="AIT79" s="33"/>
      <c r="AJD79" s="33"/>
      <c r="AJN79" s="33"/>
      <c r="AJX79" s="33"/>
      <c r="AKH79" s="33"/>
      <c r="AKR79" s="33"/>
      <c r="ALB79" s="33"/>
      <c r="ALL79" s="33"/>
      <c r="ALV79" s="33"/>
      <c r="AMF79" s="33"/>
      <c r="AMP79" s="33"/>
      <c r="AMZ79" s="33"/>
      <c r="ANJ79" s="33"/>
      <c r="ANT79" s="33"/>
      <c r="AOD79" s="33"/>
      <c r="AON79" s="33"/>
      <c r="AOX79" s="33"/>
      <c r="APH79" s="33"/>
      <c r="APR79" s="33"/>
      <c r="AQB79" s="33"/>
      <c r="AQL79" s="33"/>
      <c r="AQV79" s="33"/>
      <c r="ARF79" s="33"/>
      <c r="ARP79" s="33"/>
      <c r="ARZ79" s="33"/>
      <c r="ASJ79" s="33"/>
      <c r="AST79" s="33"/>
      <c r="ATD79" s="33"/>
      <c r="ATN79" s="33"/>
      <c r="ATX79" s="33"/>
      <c r="AUH79" s="33"/>
      <c r="AUR79" s="33"/>
      <c r="AVB79" s="33"/>
      <c r="AVL79" s="33"/>
      <c r="AVV79" s="33"/>
      <c r="AWF79" s="33"/>
      <c r="AWP79" s="33"/>
      <c r="AWZ79" s="33"/>
      <c r="AXJ79" s="33"/>
      <c r="AXT79" s="33"/>
      <c r="AYD79" s="33"/>
      <c r="AYN79" s="33"/>
      <c r="AYX79" s="33"/>
      <c r="AZH79" s="33"/>
      <c r="AZR79" s="33"/>
      <c r="BAB79" s="33"/>
      <c r="BAL79" s="33"/>
      <c r="BAV79" s="33"/>
      <c r="BBF79" s="33"/>
      <c r="BBP79" s="33"/>
      <c r="BBZ79" s="33"/>
      <c r="BCJ79" s="33"/>
      <c r="BCT79" s="33"/>
      <c r="BDD79" s="33"/>
      <c r="BDN79" s="33"/>
      <c r="BDX79" s="33"/>
      <c r="BEH79" s="33"/>
      <c r="BER79" s="33"/>
      <c r="BFB79" s="33"/>
      <c r="BFL79" s="33"/>
      <c r="BFV79" s="33"/>
      <c r="BGF79" s="33"/>
      <c r="BGP79" s="33"/>
      <c r="BGZ79" s="33"/>
      <c r="BHJ79" s="33"/>
      <c r="BHT79" s="33"/>
      <c r="BID79" s="33"/>
      <c r="BIN79" s="33"/>
      <c r="BIX79" s="33"/>
      <c r="BJH79" s="33"/>
      <c r="BJR79" s="33"/>
      <c r="BKB79" s="33"/>
      <c r="BKL79" s="33"/>
      <c r="BKV79" s="33"/>
      <c r="BLF79" s="33"/>
      <c r="BLP79" s="33"/>
      <c r="BLZ79" s="33"/>
      <c r="BMJ79" s="33"/>
      <c r="BMT79" s="33"/>
      <c r="BND79" s="33"/>
      <c r="BNN79" s="33"/>
      <c r="BNX79" s="33"/>
      <c r="BOH79" s="33"/>
      <c r="BOR79" s="33"/>
      <c r="BPB79" s="33"/>
      <c r="BPL79" s="33"/>
      <c r="BPV79" s="33"/>
      <c r="BQF79" s="33"/>
      <c r="BQP79" s="33"/>
      <c r="BQZ79" s="33"/>
      <c r="BRJ79" s="33"/>
      <c r="BRT79" s="33"/>
      <c r="BSD79" s="33"/>
      <c r="BSN79" s="33"/>
      <c r="BSX79" s="33"/>
      <c r="BTH79" s="33"/>
      <c r="BTR79" s="33"/>
      <c r="BUB79" s="33"/>
      <c r="BUL79" s="33"/>
      <c r="BUV79" s="33"/>
      <c r="BVF79" s="33"/>
      <c r="BVP79" s="33"/>
      <c r="BVZ79" s="33"/>
      <c r="BWJ79" s="33"/>
      <c r="BWT79" s="33"/>
      <c r="BXD79" s="33"/>
      <c r="BXN79" s="33"/>
      <c r="BXX79" s="33"/>
      <c r="BYH79" s="33"/>
      <c r="BYR79" s="33"/>
      <c r="BZB79" s="33"/>
      <c r="BZL79" s="33"/>
      <c r="BZV79" s="33"/>
      <c r="CAF79" s="33"/>
      <c r="CAP79" s="33"/>
      <c r="CAZ79" s="33"/>
      <c r="CBJ79" s="33"/>
      <c r="CBT79" s="33"/>
      <c r="CCD79" s="33"/>
      <c r="CCN79" s="33"/>
      <c r="CCX79" s="33"/>
      <c r="CDH79" s="33"/>
      <c r="CDR79" s="33"/>
      <c r="CEB79" s="33"/>
      <c r="CEL79" s="33"/>
      <c r="CEV79" s="33"/>
      <c r="CFF79" s="33"/>
      <c r="CFP79" s="33"/>
      <c r="CFZ79" s="33"/>
      <c r="CGJ79" s="33"/>
      <c r="CGT79" s="33"/>
      <c r="CHD79" s="33"/>
      <c r="CHN79" s="33"/>
      <c r="CHX79" s="33"/>
      <c r="CIH79" s="33"/>
      <c r="CIR79" s="33"/>
      <c r="CJB79" s="33"/>
      <c r="CJL79" s="33"/>
      <c r="CJV79" s="33"/>
      <c r="CKF79" s="33"/>
      <c r="CKP79" s="33"/>
      <c r="CKZ79" s="33"/>
      <c r="CLJ79" s="33"/>
      <c r="CLT79" s="33"/>
      <c r="CMD79" s="33"/>
      <c r="CMN79" s="33"/>
      <c r="CMX79" s="33"/>
      <c r="CNH79" s="33"/>
      <c r="CNR79" s="33"/>
      <c r="COB79" s="33"/>
      <c r="COL79" s="33"/>
      <c r="COV79" s="33"/>
      <c r="CPF79" s="33"/>
      <c r="CPP79" s="33"/>
      <c r="CPZ79" s="33"/>
      <c r="CQJ79" s="33"/>
      <c r="CQT79" s="33"/>
      <c r="CRD79" s="33"/>
      <c r="CRN79" s="33"/>
      <c r="CRX79" s="33"/>
      <c r="CSH79" s="33"/>
      <c r="CSR79" s="33"/>
      <c r="CTB79" s="33"/>
      <c r="CTL79" s="33"/>
      <c r="CTV79" s="33"/>
    </row>
    <row r="80" s="16" customFormat="1" customHeight="1" spans="1:1020 1030:2040 2050:2570">
      <c r="A80" s="57"/>
      <c r="B80" s="52"/>
      <c r="C80" s="52"/>
      <c r="D80" s="52"/>
      <c r="E80" s="52"/>
      <c r="F80" s="58" t="str">
        <f>IFERROR(VLOOKUP(E80,日报!E:G,2,0),"")</f>
        <v/>
      </c>
      <c r="G80" s="52"/>
      <c r="H80" s="53" t="str">
        <f>IFERROR(VLOOKUP(E80,基础数据!$E$4:$H$4,4,0),"")</f>
        <v/>
      </c>
      <c r="I80" s="53" t="str">
        <f>IFERROR(VLOOKUP(E80,基础数据!$E$4:$H$4,3,0),"")</f>
        <v/>
      </c>
      <c r="J80" s="52"/>
      <c r="K80" s="54" t="str">
        <f t="shared" si="1"/>
        <v/>
      </c>
      <c r="T80" s="33"/>
      <c r="AD80" s="33"/>
      <c r="AN80" s="33"/>
      <c r="AX80" s="33"/>
      <c r="BH80" s="33"/>
      <c r="BR80" s="33"/>
      <c r="CB80" s="33"/>
      <c r="CL80" s="33"/>
      <c r="CV80" s="33"/>
      <c r="DF80" s="33"/>
      <c r="DP80" s="33"/>
      <c r="DZ80" s="33"/>
      <c r="EJ80" s="33"/>
      <c r="ET80" s="33"/>
      <c r="FD80" s="33"/>
      <c r="FN80" s="33"/>
      <c r="FX80" s="33"/>
      <c r="GH80" s="33"/>
      <c r="GR80" s="33"/>
      <c r="HB80" s="33"/>
      <c r="HL80" s="33"/>
      <c r="HV80" s="33"/>
      <c r="IF80" s="33"/>
      <c r="IP80" s="33"/>
      <c r="IZ80" s="33"/>
      <c r="JJ80" s="33"/>
      <c r="JT80" s="33"/>
      <c r="KD80" s="33"/>
      <c r="KN80" s="33"/>
      <c r="KX80" s="33"/>
      <c r="LH80" s="33"/>
      <c r="LR80" s="33"/>
      <c r="MB80" s="33"/>
      <c r="ML80" s="33"/>
      <c r="MV80" s="33"/>
      <c r="NF80" s="33"/>
      <c r="NP80" s="33"/>
      <c r="NZ80" s="33"/>
      <c r="OJ80" s="33"/>
      <c r="OT80" s="33"/>
      <c r="PD80" s="33"/>
      <c r="PN80" s="33"/>
      <c r="PX80" s="33"/>
      <c r="QH80" s="33"/>
      <c r="QR80" s="33"/>
      <c r="RB80" s="33"/>
      <c r="RL80" s="33"/>
      <c r="RV80" s="33"/>
      <c r="SF80" s="33"/>
      <c r="SP80" s="33"/>
      <c r="SZ80" s="33"/>
      <c r="TJ80" s="33"/>
      <c r="TT80" s="33"/>
      <c r="UD80" s="33"/>
      <c r="UN80" s="33"/>
      <c r="UX80" s="33"/>
      <c r="VH80" s="33"/>
      <c r="VR80" s="33"/>
      <c r="WB80" s="33"/>
      <c r="WL80" s="33"/>
      <c r="WV80" s="33"/>
      <c r="XF80" s="33"/>
      <c r="XP80" s="33"/>
      <c r="XZ80" s="33"/>
      <c r="YJ80" s="33"/>
      <c r="YT80" s="33"/>
      <c r="ZD80" s="33"/>
      <c r="ZN80" s="33"/>
      <c r="ZX80" s="33"/>
      <c r="AAH80" s="33"/>
      <c r="AAR80" s="33"/>
      <c r="ABB80" s="33"/>
      <c r="ABL80" s="33"/>
      <c r="ABV80" s="33"/>
      <c r="ACF80" s="33"/>
      <c r="ACP80" s="33"/>
      <c r="ACZ80" s="33"/>
      <c r="ADJ80" s="33"/>
      <c r="ADT80" s="33"/>
      <c r="AED80" s="33"/>
      <c r="AEN80" s="33"/>
      <c r="AEX80" s="33"/>
      <c r="AFH80" s="33"/>
      <c r="AFR80" s="33"/>
      <c r="AGB80" s="33"/>
      <c r="AGL80" s="33"/>
      <c r="AGV80" s="33"/>
      <c r="AHF80" s="33"/>
      <c r="AHP80" s="33"/>
      <c r="AHZ80" s="33"/>
      <c r="AIJ80" s="33"/>
      <c r="AIT80" s="33"/>
      <c r="AJD80" s="33"/>
      <c r="AJN80" s="33"/>
      <c r="AJX80" s="33"/>
      <c r="AKH80" s="33"/>
      <c r="AKR80" s="33"/>
      <c r="ALB80" s="33"/>
      <c r="ALL80" s="33"/>
      <c r="ALV80" s="33"/>
      <c r="AMF80" s="33"/>
      <c r="AMP80" s="33"/>
      <c r="AMZ80" s="33"/>
      <c r="ANJ80" s="33"/>
      <c r="ANT80" s="33"/>
      <c r="AOD80" s="33"/>
      <c r="AON80" s="33"/>
      <c r="AOX80" s="33"/>
      <c r="APH80" s="33"/>
      <c r="APR80" s="33"/>
      <c r="AQB80" s="33"/>
      <c r="AQL80" s="33"/>
      <c r="AQV80" s="33"/>
      <c r="ARF80" s="33"/>
      <c r="ARP80" s="33"/>
      <c r="ARZ80" s="33"/>
      <c r="ASJ80" s="33"/>
      <c r="AST80" s="33"/>
      <c r="ATD80" s="33"/>
      <c r="ATN80" s="33"/>
      <c r="ATX80" s="33"/>
      <c r="AUH80" s="33"/>
      <c r="AUR80" s="33"/>
      <c r="AVB80" s="33"/>
      <c r="AVL80" s="33"/>
      <c r="AVV80" s="33"/>
      <c r="AWF80" s="33"/>
      <c r="AWP80" s="33"/>
      <c r="AWZ80" s="33"/>
      <c r="AXJ80" s="33"/>
      <c r="AXT80" s="33"/>
      <c r="AYD80" s="33"/>
      <c r="AYN80" s="33"/>
      <c r="AYX80" s="33"/>
      <c r="AZH80" s="33"/>
      <c r="AZR80" s="33"/>
      <c r="BAB80" s="33"/>
      <c r="BAL80" s="33"/>
      <c r="BAV80" s="33"/>
      <c r="BBF80" s="33"/>
      <c r="BBP80" s="33"/>
      <c r="BBZ80" s="33"/>
      <c r="BCJ80" s="33"/>
      <c r="BCT80" s="33"/>
      <c r="BDD80" s="33"/>
      <c r="BDN80" s="33"/>
      <c r="BDX80" s="33"/>
      <c r="BEH80" s="33"/>
      <c r="BER80" s="33"/>
      <c r="BFB80" s="33"/>
      <c r="BFL80" s="33"/>
      <c r="BFV80" s="33"/>
      <c r="BGF80" s="33"/>
      <c r="BGP80" s="33"/>
      <c r="BGZ80" s="33"/>
      <c r="BHJ80" s="33"/>
      <c r="BHT80" s="33"/>
      <c r="BID80" s="33"/>
      <c r="BIN80" s="33"/>
      <c r="BIX80" s="33"/>
      <c r="BJH80" s="33"/>
      <c r="BJR80" s="33"/>
      <c r="BKB80" s="33"/>
      <c r="BKL80" s="33"/>
      <c r="BKV80" s="33"/>
      <c r="BLF80" s="33"/>
      <c r="BLP80" s="33"/>
      <c r="BLZ80" s="33"/>
      <c r="BMJ80" s="33"/>
      <c r="BMT80" s="33"/>
      <c r="BND80" s="33"/>
      <c r="BNN80" s="33"/>
      <c r="BNX80" s="33"/>
      <c r="BOH80" s="33"/>
      <c r="BOR80" s="33"/>
      <c r="BPB80" s="33"/>
      <c r="BPL80" s="33"/>
      <c r="BPV80" s="33"/>
      <c r="BQF80" s="33"/>
      <c r="BQP80" s="33"/>
      <c r="BQZ80" s="33"/>
      <c r="BRJ80" s="33"/>
      <c r="BRT80" s="33"/>
      <c r="BSD80" s="33"/>
      <c r="BSN80" s="33"/>
      <c r="BSX80" s="33"/>
      <c r="BTH80" s="33"/>
      <c r="BTR80" s="33"/>
      <c r="BUB80" s="33"/>
      <c r="BUL80" s="33"/>
      <c r="BUV80" s="33"/>
      <c r="BVF80" s="33"/>
      <c r="BVP80" s="33"/>
      <c r="BVZ80" s="33"/>
      <c r="BWJ80" s="33"/>
      <c r="BWT80" s="33"/>
      <c r="BXD80" s="33"/>
      <c r="BXN80" s="33"/>
      <c r="BXX80" s="33"/>
      <c r="BYH80" s="33"/>
      <c r="BYR80" s="33"/>
      <c r="BZB80" s="33"/>
      <c r="BZL80" s="33"/>
      <c r="BZV80" s="33"/>
      <c r="CAF80" s="33"/>
      <c r="CAP80" s="33"/>
      <c r="CAZ80" s="33"/>
      <c r="CBJ80" s="33"/>
      <c r="CBT80" s="33"/>
      <c r="CCD80" s="33"/>
      <c r="CCN80" s="33"/>
      <c r="CCX80" s="33"/>
      <c r="CDH80" s="33"/>
      <c r="CDR80" s="33"/>
      <c r="CEB80" s="33"/>
      <c r="CEL80" s="33"/>
      <c r="CEV80" s="33"/>
      <c r="CFF80" s="33"/>
      <c r="CFP80" s="33"/>
      <c r="CFZ80" s="33"/>
      <c r="CGJ80" s="33"/>
      <c r="CGT80" s="33"/>
      <c r="CHD80" s="33"/>
      <c r="CHN80" s="33"/>
      <c r="CHX80" s="33"/>
      <c r="CIH80" s="33"/>
      <c r="CIR80" s="33"/>
      <c r="CJB80" s="33"/>
      <c r="CJL80" s="33"/>
      <c r="CJV80" s="33"/>
      <c r="CKF80" s="33"/>
      <c r="CKP80" s="33"/>
      <c r="CKZ80" s="33"/>
      <c r="CLJ80" s="33"/>
      <c r="CLT80" s="33"/>
      <c r="CMD80" s="33"/>
      <c r="CMN80" s="33"/>
      <c r="CMX80" s="33"/>
      <c r="CNH80" s="33"/>
      <c r="CNR80" s="33"/>
      <c r="COB80" s="33"/>
      <c r="COL80" s="33"/>
      <c r="COV80" s="33"/>
      <c r="CPF80" s="33"/>
      <c r="CPP80" s="33"/>
      <c r="CPZ80" s="33"/>
      <c r="CQJ80" s="33"/>
      <c r="CQT80" s="33"/>
      <c r="CRD80" s="33"/>
      <c r="CRN80" s="33"/>
      <c r="CRX80" s="33"/>
      <c r="CSH80" s="33"/>
      <c r="CSR80" s="33"/>
      <c r="CTB80" s="33"/>
      <c r="CTL80" s="33"/>
      <c r="CTV80" s="33"/>
    </row>
    <row r="81" s="16" customFormat="1" customHeight="1" spans="1:1020 1030:2040 2050:2570">
      <c r="A81" s="57"/>
      <c r="B81" s="52"/>
      <c r="C81" s="52"/>
      <c r="D81" s="52"/>
      <c r="E81" s="52"/>
      <c r="F81" s="58" t="str">
        <f>IFERROR(VLOOKUP(E81,日报!E:G,2,0),"")</f>
        <v/>
      </c>
      <c r="G81" s="52"/>
      <c r="H81" s="53" t="str">
        <f>IFERROR(VLOOKUP(E81,基础数据!$E$4:$H$4,4,0),"")</f>
        <v/>
      </c>
      <c r="I81" s="53" t="str">
        <f>IFERROR(VLOOKUP(E81,基础数据!$E$4:$H$4,3,0),"")</f>
        <v/>
      </c>
      <c r="J81" s="52"/>
      <c r="K81" s="54" t="str">
        <f t="shared" si="1"/>
        <v/>
      </c>
      <c r="T81" s="33"/>
      <c r="AD81" s="33"/>
      <c r="AN81" s="33"/>
      <c r="AX81" s="33"/>
      <c r="BH81" s="33"/>
      <c r="BR81" s="33"/>
      <c r="CB81" s="33"/>
      <c r="CL81" s="33"/>
      <c r="CV81" s="33"/>
      <c r="DF81" s="33"/>
      <c r="DP81" s="33"/>
      <c r="DZ81" s="33"/>
      <c r="EJ81" s="33"/>
      <c r="ET81" s="33"/>
      <c r="FD81" s="33"/>
      <c r="FN81" s="33"/>
      <c r="FX81" s="33"/>
      <c r="GH81" s="33"/>
      <c r="GR81" s="33"/>
      <c r="HB81" s="33"/>
      <c r="HL81" s="33"/>
      <c r="HV81" s="33"/>
      <c r="IF81" s="33"/>
      <c r="IP81" s="33"/>
      <c r="IZ81" s="33"/>
      <c r="JJ81" s="33"/>
      <c r="JT81" s="33"/>
      <c r="KD81" s="33"/>
      <c r="KN81" s="33"/>
      <c r="KX81" s="33"/>
      <c r="LH81" s="33"/>
      <c r="LR81" s="33"/>
      <c r="MB81" s="33"/>
      <c r="ML81" s="33"/>
      <c r="MV81" s="33"/>
      <c r="NF81" s="33"/>
      <c r="NP81" s="33"/>
      <c r="NZ81" s="33"/>
      <c r="OJ81" s="33"/>
      <c r="OT81" s="33"/>
      <c r="PD81" s="33"/>
      <c r="PN81" s="33"/>
      <c r="PX81" s="33"/>
      <c r="QH81" s="33"/>
      <c r="QR81" s="33"/>
      <c r="RB81" s="33"/>
      <c r="RL81" s="33"/>
      <c r="RV81" s="33"/>
      <c r="SF81" s="33"/>
      <c r="SP81" s="33"/>
      <c r="SZ81" s="33"/>
      <c r="TJ81" s="33"/>
      <c r="TT81" s="33"/>
      <c r="UD81" s="33"/>
      <c r="UN81" s="33"/>
      <c r="UX81" s="33"/>
      <c r="VH81" s="33"/>
      <c r="VR81" s="33"/>
      <c r="WB81" s="33"/>
      <c r="WL81" s="33"/>
      <c r="WV81" s="33"/>
      <c r="XF81" s="33"/>
      <c r="XP81" s="33"/>
      <c r="XZ81" s="33"/>
      <c r="YJ81" s="33"/>
      <c r="YT81" s="33"/>
      <c r="ZD81" s="33"/>
      <c r="ZN81" s="33"/>
      <c r="ZX81" s="33"/>
      <c r="AAH81" s="33"/>
      <c r="AAR81" s="33"/>
      <c r="ABB81" s="33"/>
      <c r="ABL81" s="33"/>
      <c r="ABV81" s="33"/>
      <c r="ACF81" s="33"/>
      <c r="ACP81" s="33"/>
      <c r="ACZ81" s="33"/>
      <c r="ADJ81" s="33"/>
      <c r="ADT81" s="33"/>
      <c r="AED81" s="33"/>
      <c r="AEN81" s="33"/>
      <c r="AEX81" s="33"/>
      <c r="AFH81" s="33"/>
      <c r="AFR81" s="33"/>
      <c r="AGB81" s="33"/>
      <c r="AGL81" s="33"/>
      <c r="AGV81" s="33"/>
      <c r="AHF81" s="33"/>
      <c r="AHP81" s="33"/>
      <c r="AHZ81" s="33"/>
      <c r="AIJ81" s="33"/>
      <c r="AIT81" s="33"/>
      <c r="AJD81" s="33"/>
      <c r="AJN81" s="33"/>
      <c r="AJX81" s="33"/>
      <c r="AKH81" s="33"/>
      <c r="AKR81" s="33"/>
      <c r="ALB81" s="33"/>
      <c r="ALL81" s="33"/>
      <c r="ALV81" s="33"/>
      <c r="AMF81" s="33"/>
      <c r="AMP81" s="33"/>
      <c r="AMZ81" s="33"/>
      <c r="ANJ81" s="33"/>
      <c r="ANT81" s="33"/>
      <c r="AOD81" s="33"/>
      <c r="AON81" s="33"/>
      <c r="AOX81" s="33"/>
      <c r="APH81" s="33"/>
      <c r="APR81" s="33"/>
      <c r="AQB81" s="33"/>
      <c r="AQL81" s="33"/>
      <c r="AQV81" s="33"/>
      <c r="ARF81" s="33"/>
      <c r="ARP81" s="33"/>
      <c r="ARZ81" s="33"/>
      <c r="ASJ81" s="33"/>
      <c r="AST81" s="33"/>
      <c r="ATD81" s="33"/>
      <c r="ATN81" s="33"/>
      <c r="ATX81" s="33"/>
      <c r="AUH81" s="33"/>
      <c r="AUR81" s="33"/>
      <c r="AVB81" s="33"/>
      <c r="AVL81" s="33"/>
      <c r="AVV81" s="33"/>
      <c r="AWF81" s="33"/>
      <c r="AWP81" s="33"/>
      <c r="AWZ81" s="33"/>
      <c r="AXJ81" s="33"/>
      <c r="AXT81" s="33"/>
      <c r="AYD81" s="33"/>
      <c r="AYN81" s="33"/>
      <c r="AYX81" s="33"/>
      <c r="AZH81" s="33"/>
      <c r="AZR81" s="33"/>
      <c r="BAB81" s="33"/>
      <c r="BAL81" s="33"/>
      <c r="BAV81" s="33"/>
      <c r="BBF81" s="33"/>
      <c r="BBP81" s="33"/>
      <c r="BBZ81" s="33"/>
      <c r="BCJ81" s="33"/>
      <c r="BCT81" s="33"/>
      <c r="BDD81" s="33"/>
      <c r="BDN81" s="33"/>
      <c r="BDX81" s="33"/>
      <c r="BEH81" s="33"/>
      <c r="BER81" s="33"/>
      <c r="BFB81" s="33"/>
      <c r="BFL81" s="33"/>
      <c r="BFV81" s="33"/>
      <c r="BGF81" s="33"/>
      <c r="BGP81" s="33"/>
      <c r="BGZ81" s="33"/>
      <c r="BHJ81" s="33"/>
      <c r="BHT81" s="33"/>
      <c r="BID81" s="33"/>
      <c r="BIN81" s="33"/>
      <c r="BIX81" s="33"/>
      <c r="BJH81" s="33"/>
      <c r="BJR81" s="33"/>
      <c r="BKB81" s="33"/>
      <c r="BKL81" s="33"/>
      <c r="BKV81" s="33"/>
      <c r="BLF81" s="33"/>
      <c r="BLP81" s="33"/>
      <c r="BLZ81" s="33"/>
      <c r="BMJ81" s="33"/>
      <c r="BMT81" s="33"/>
      <c r="BND81" s="33"/>
      <c r="BNN81" s="33"/>
      <c r="BNX81" s="33"/>
      <c r="BOH81" s="33"/>
      <c r="BOR81" s="33"/>
      <c r="BPB81" s="33"/>
      <c r="BPL81" s="33"/>
      <c r="BPV81" s="33"/>
      <c r="BQF81" s="33"/>
      <c r="BQP81" s="33"/>
      <c r="BQZ81" s="33"/>
      <c r="BRJ81" s="33"/>
      <c r="BRT81" s="33"/>
      <c r="BSD81" s="33"/>
      <c r="BSN81" s="33"/>
      <c r="BSX81" s="33"/>
      <c r="BTH81" s="33"/>
      <c r="BTR81" s="33"/>
      <c r="BUB81" s="33"/>
      <c r="BUL81" s="33"/>
      <c r="BUV81" s="33"/>
      <c r="BVF81" s="33"/>
      <c r="BVP81" s="33"/>
      <c r="BVZ81" s="33"/>
      <c r="BWJ81" s="33"/>
      <c r="BWT81" s="33"/>
      <c r="BXD81" s="33"/>
      <c r="BXN81" s="33"/>
      <c r="BXX81" s="33"/>
      <c r="BYH81" s="33"/>
      <c r="BYR81" s="33"/>
      <c r="BZB81" s="33"/>
      <c r="BZL81" s="33"/>
      <c r="BZV81" s="33"/>
      <c r="CAF81" s="33"/>
      <c r="CAP81" s="33"/>
      <c r="CAZ81" s="33"/>
      <c r="CBJ81" s="33"/>
      <c r="CBT81" s="33"/>
      <c r="CCD81" s="33"/>
      <c r="CCN81" s="33"/>
      <c r="CCX81" s="33"/>
      <c r="CDH81" s="33"/>
      <c r="CDR81" s="33"/>
      <c r="CEB81" s="33"/>
      <c r="CEL81" s="33"/>
      <c r="CEV81" s="33"/>
      <c r="CFF81" s="33"/>
      <c r="CFP81" s="33"/>
      <c r="CFZ81" s="33"/>
      <c r="CGJ81" s="33"/>
      <c r="CGT81" s="33"/>
      <c r="CHD81" s="33"/>
      <c r="CHN81" s="33"/>
      <c r="CHX81" s="33"/>
      <c r="CIH81" s="33"/>
      <c r="CIR81" s="33"/>
      <c r="CJB81" s="33"/>
      <c r="CJL81" s="33"/>
      <c r="CJV81" s="33"/>
      <c r="CKF81" s="33"/>
      <c r="CKP81" s="33"/>
      <c r="CKZ81" s="33"/>
      <c r="CLJ81" s="33"/>
      <c r="CLT81" s="33"/>
      <c r="CMD81" s="33"/>
      <c r="CMN81" s="33"/>
      <c r="CMX81" s="33"/>
      <c r="CNH81" s="33"/>
      <c r="CNR81" s="33"/>
      <c r="COB81" s="33"/>
      <c r="COL81" s="33"/>
      <c r="COV81" s="33"/>
      <c r="CPF81" s="33"/>
      <c r="CPP81" s="33"/>
      <c r="CPZ81" s="33"/>
      <c r="CQJ81" s="33"/>
      <c r="CQT81" s="33"/>
      <c r="CRD81" s="33"/>
      <c r="CRN81" s="33"/>
      <c r="CRX81" s="33"/>
      <c r="CSH81" s="33"/>
      <c r="CSR81" s="33"/>
      <c r="CTB81" s="33"/>
      <c r="CTL81" s="33"/>
      <c r="CTV81" s="33"/>
    </row>
    <row r="82" s="16" customFormat="1" customHeight="1" spans="1:1020 1030:2040 2050:2570">
      <c r="A82" s="57"/>
      <c r="B82" s="52"/>
      <c r="C82" s="52"/>
      <c r="D82" s="52"/>
      <c r="E82" s="52"/>
      <c r="F82" s="58" t="str">
        <f>IFERROR(VLOOKUP(E82,日报!E:G,2,0),"")</f>
        <v/>
      </c>
      <c r="G82" s="52"/>
      <c r="H82" s="53" t="str">
        <f>IFERROR(VLOOKUP(E82,基础数据!$E$4:$H$4,4,0),"")</f>
        <v/>
      </c>
      <c r="I82" s="53" t="str">
        <f>IFERROR(VLOOKUP(E82,基础数据!$E$4:$H$4,3,0),"")</f>
        <v/>
      </c>
      <c r="J82" s="52"/>
      <c r="K82" s="54" t="str">
        <f t="shared" si="1"/>
        <v/>
      </c>
      <c r="T82" s="33"/>
      <c r="AD82" s="33"/>
      <c r="AN82" s="33"/>
      <c r="AX82" s="33"/>
      <c r="BH82" s="33"/>
      <c r="BR82" s="33"/>
      <c r="CB82" s="33"/>
      <c r="CL82" s="33"/>
      <c r="CV82" s="33"/>
      <c r="DF82" s="33"/>
      <c r="DP82" s="33"/>
      <c r="DZ82" s="33"/>
      <c r="EJ82" s="33"/>
      <c r="ET82" s="33"/>
      <c r="FD82" s="33"/>
      <c r="FN82" s="33"/>
      <c r="FX82" s="33"/>
      <c r="GH82" s="33"/>
      <c r="GR82" s="33"/>
      <c r="HB82" s="33"/>
      <c r="HL82" s="33"/>
      <c r="HV82" s="33"/>
      <c r="IF82" s="33"/>
      <c r="IP82" s="33"/>
      <c r="IZ82" s="33"/>
      <c r="JJ82" s="33"/>
      <c r="JT82" s="33"/>
      <c r="KD82" s="33"/>
      <c r="KN82" s="33"/>
      <c r="KX82" s="33"/>
      <c r="LH82" s="33"/>
      <c r="LR82" s="33"/>
      <c r="MB82" s="33"/>
      <c r="ML82" s="33"/>
      <c r="MV82" s="33"/>
      <c r="NF82" s="33"/>
      <c r="NP82" s="33"/>
      <c r="NZ82" s="33"/>
      <c r="OJ82" s="33"/>
      <c r="OT82" s="33"/>
      <c r="PD82" s="33"/>
      <c r="PN82" s="33"/>
      <c r="PX82" s="33"/>
      <c r="QH82" s="33"/>
      <c r="QR82" s="33"/>
      <c r="RB82" s="33"/>
      <c r="RL82" s="33"/>
      <c r="RV82" s="33"/>
      <c r="SF82" s="33"/>
      <c r="SP82" s="33"/>
      <c r="SZ82" s="33"/>
      <c r="TJ82" s="33"/>
      <c r="TT82" s="33"/>
      <c r="UD82" s="33"/>
      <c r="UN82" s="33"/>
      <c r="UX82" s="33"/>
      <c r="VH82" s="33"/>
      <c r="VR82" s="33"/>
      <c r="WB82" s="33"/>
      <c r="WL82" s="33"/>
      <c r="WV82" s="33"/>
      <c r="XF82" s="33"/>
      <c r="XP82" s="33"/>
      <c r="XZ82" s="33"/>
      <c r="YJ82" s="33"/>
      <c r="YT82" s="33"/>
      <c r="ZD82" s="33"/>
      <c r="ZN82" s="33"/>
      <c r="ZX82" s="33"/>
      <c r="AAH82" s="33"/>
      <c r="AAR82" s="33"/>
      <c r="ABB82" s="33"/>
      <c r="ABL82" s="33"/>
      <c r="ABV82" s="33"/>
      <c r="ACF82" s="33"/>
      <c r="ACP82" s="33"/>
      <c r="ACZ82" s="33"/>
      <c r="ADJ82" s="33"/>
      <c r="ADT82" s="33"/>
      <c r="AED82" s="33"/>
      <c r="AEN82" s="33"/>
      <c r="AEX82" s="33"/>
      <c r="AFH82" s="33"/>
      <c r="AFR82" s="33"/>
      <c r="AGB82" s="33"/>
      <c r="AGL82" s="33"/>
      <c r="AGV82" s="33"/>
      <c r="AHF82" s="33"/>
      <c r="AHP82" s="33"/>
      <c r="AHZ82" s="33"/>
      <c r="AIJ82" s="33"/>
      <c r="AIT82" s="33"/>
      <c r="AJD82" s="33"/>
      <c r="AJN82" s="33"/>
      <c r="AJX82" s="33"/>
      <c r="AKH82" s="33"/>
      <c r="AKR82" s="33"/>
      <c r="ALB82" s="33"/>
      <c r="ALL82" s="33"/>
      <c r="ALV82" s="33"/>
      <c r="AMF82" s="33"/>
      <c r="AMP82" s="33"/>
      <c r="AMZ82" s="33"/>
      <c r="ANJ82" s="33"/>
      <c r="ANT82" s="33"/>
      <c r="AOD82" s="33"/>
      <c r="AON82" s="33"/>
      <c r="AOX82" s="33"/>
      <c r="APH82" s="33"/>
      <c r="APR82" s="33"/>
      <c r="AQB82" s="33"/>
      <c r="AQL82" s="33"/>
      <c r="AQV82" s="33"/>
      <c r="ARF82" s="33"/>
      <c r="ARP82" s="33"/>
      <c r="ARZ82" s="33"/>
      <c r="ASJ82" s="33"/>
      <c r="AST82" s="33"/>
      <c r="ATD82" s="33"/>
      <c r="ATN82" s="33"/>
      <c r="ATX82" s="33"/>
      <c r="AUH82" s="33"/>
      <c r="AUR82" s="33"/>
      <c r="AVB82" s="33"/>
      <c r="AVL82" s="33"/>
      <c r="AVV82" s="33"/>
      <c r="AWF82" s="33"/>
      <c r="AWP82" s="33"/>
      <c r="AWZ82" s="33"/>
      <c r="AXJ82" s="33"/>
      <c r="AXT82" s="33"/>
      <c r="AYD82" s="33"/>
      <c r="AYN82" s="33"/>
      <c r="AYX82" s="33"/>
      <c r="AZH82" s="33"/>
      <c r="AZR82" s="33"/>
      <c r="BAB82" s="33"/>
      <c r="BAL82" s="33"/>
      <c r="BAV82" s="33"/>
      <c r="BBF82" s="33"/>
      <c r="BBP82" s="33"/>
      <c r="BBZ82" s="33"/>
      <c r="BCJ82" s="33"/>
      <c r="BCT82" s="33"/>
      <c r="BDD82" s="33"/>
      <c r="BDN82" s="33"/>
      <c r="BDX82" s="33"/>
      <c r="BEH82" s="33"/>
      <c r="BER82" s="33"/>
      <c r="BFB82" s="33"/>
      <c r="BFL82" s="33"/>
      <c r="BFV82" s="33"/>
      <c r="BGF82" s="33"/>
      <c r="BGP82" s="33"/>
      <c r="BGZ82" s="33"/>
      <c r="BHJ82" s="33"/>
      <c r="BHT82" s="33"/>
      <c r="BID82" s="33"/>
      <c r="BIN82" s="33"/>
      <c r="BIX82" s="33"/>
      <c r="BJH82" s="33"/>
      <c r="BJR82" s="33"/>
      <c r="BKB82" s="33"/>
      <c r="BKL82" s="33"/>
      <c r="BKV82" s="33"/>
      <c r="BLF82" s="33"/>
      <c r="BLP82" s="33"/>
      <c r="BLZ82" s="33"/>
      <c r="BMJ82" s="33"/>
      <c r="BMT82" s="33"/>
      <c r="BND82" s="33"/>
      <c r="BNN82" s="33"/>
      <c r="BNX82" s="33"/>
      <c r="BOH82" s="33"/>
      <c r="BOR82" s="33"/>
      <c r="BPB82" s="33"/>
      <c r="BPL82" s="33"/>
      <c r="BPV82" s="33"/>
      <c r="BQF82" s="33"/>
      <c r="BQP82" s="33"/>
      <c r="BQZ82" s="33"/>
      <c r="BRJ82" s="33"/>
      <c r="BRT82" s="33"/>
      <c r="BSD82" s="33"/>
      <c r="BSN82" s="33"/>
      <c r="BSX82" s="33"/>
      <c r="BTH82" s="33"/>
      <c r="BTR82" s="33"/>
      <c r="BUB82" s="33"/>
      <c r="BUL82" s="33"/>
      <c r="BUV82" s="33"/>
      <c r="BVF82" s="33"/>
      <c r="BVP82" s="33"/>
      <c r="BVZ82" s="33"/>
      <c r="BWJ82" s="33"/>
      <c r="BWT82" s="33"/>
      <c r="BXD82" s="33"/>
      <c r="BXN82" s="33"/>
      <c r="BXX82" s="33"/>
      <c r="BYH82" s="33"/>
      <c r="BYR82" s="33"/>
      <c r="BZB82" s="33"/>
      <c r="BZL82" s="33"/>
      <c r="BZV82" s="33"/>
      <c r="CAF82" s="33"/>
      <c r="CAP82" s="33"/>
      <c r="CAZ82" s="33"/>
      <c r="CBJ82" s="33"/>
      <c r="CBT82" s="33"/>
      <c r="CCD82" s="33"/>
      <c r="CCN82" s="33"/>
      <c r="CCX82" s="33"/>
      <c r="CDH82" s="33"/>
      <c r="CDR82" s="33"/>
      <c r="CEB82" s="33"/>
      <c r="CEL82" s="33"/>
      <c r="CEV82" s="33"/>
      <c r="CFF82" s="33"/>
      <c r="CFP82" s="33"/>
      <c r="CFZ82" s="33"/>
      <c r="CGJ82" s="33"/>
      <c r="CGT82" s="33"/>
      <c r="CHD82" s="33"/>
      <c r="CHN82" s="33"/>
      <c r="CHX82" s="33"/>
      <c r="CIH82" s="33"/>
      <c r="CIR82" s="33"/>
      <c r="CJB82" s="33"/>
      <c r="CJL82" s="33"/>
      <c r="CJV82" s="33"/>
      <c r="CKF82" s="33"/>
      <c r="CKP82" s="33"/>
      <c r="CKZ82" s="33"/>
      <c r="CLJ82" s="33"/>
      <c r="CLT82" s="33"/>
      <c r="CMD82" s="33"/>
      <c r="CMN82" s="33"/>
      <c r="CMX82" s="33"/>
      <c r="CNH82" s="33"/>
      <c r="CNR82" s="33"/>
      <c r="COB82" s="33"/>
      <c r="COL82" s="33"/>
      <c r="COV82" s="33"/>
      <c r="CPF82" s="33"/>
      <c r="CPP82" s="33"/>
      <c r="CPZ82" s="33"/>
      <c r="CQJ82" s="33"/>
      <c r="CQT82" s="33"/>
      <c r="CRD82" s="33"/>
      <c r="CRN82" s="33"/>
      <c r="CRX82" s="33"/>
      <c r="CSH82" s="33"/>
      <c r="CSR82" s="33"/>
      <c r="CTB82" s="33"/>
      <c r="CTL82" s="33"/>
      <c r="CTV82" s="33"/>
    </row>
    <row r="83" s="16" customFormat="1" customHeight="1" spans="1:1020 1030:2040 2050:2570">
      <c r="A83" s="57"/>
      <c r="B83" s="52"/>
      <c r="C83" s="52"/>
      <c r="D83" s="52"/>
      <c r="E83" s="52"/>
      <c r="F83" s="58" t="str">
        <f>IFERROR(VLOOKUP(E83,日报!E:G,2,0),"")</f>
        <v/>
      </c>
      <c r="G83" s="52"/>
      <c r="H83" s="53" t="str">
        <f>IFERROR(VLOOKUP(E83,基础数据!$E$4:$H$4,4,0),"")</f>
        <v/>
      </c>
      <c r="I83" s="53" t="str">
        <f>IFERROR(VLOOKUP(E83,基础数据!$E$4:$H$4,3,0),"")</f>
        <v/>
      </c>
      <c r="J83" s="52"/>
      <c r="K83" s="54" t="str">
        <f t="shared" si="1"/>
        <v/>
      </c>
      <c r="T83" s="33"/>
      <c r="AD83" s="33"/>
      <c r="AN83" s="33"/>
      <c r="AX83" s="33"/>
      <c r="BH83" s="33"/>
      <c r="BR83" s="33"/>
      <c r="CB83" s="33"/>
      <c r="CL83" s="33"/>
      <c r="CV83" s="33"/>
      <c r="DF83" s="33"/>
      <c r="DP83" s="33"/>
      <c r="DZ83" s="33"/>
      <c r="EJ83" s="33"/>
      <c r="ET83" s="33"/>
      <c r="FD83" s="33"/>
      <c r="FN83" s="33"/>
      <c r="FX83" s="33"/>
      <c r="GH83" s="33"/>
      <c r="GR83" s="33"/>
      <c r="HB83" s="33"/>
      <c r="HL83" s="33"/>
      <c r="HV83" s="33"/>
      <c r="IF83" s="33"/>
      <c r="IP83" s="33"/>
      <c r="IZ83" s="33"/>
      <c r="JJ83" s="33"/>
      <c r="JT83" s="33"/>
      <c r="KD83" s="33"/>
      <c r="KN83" s="33"/>
      <c r="KX83" s="33"/>
      <c r="LH83" s="33"/>
      <c r="LR83" s="33"/>
      <c r="MB83" s="33"/>
      <c r="ML83" s="33"/>
      <c r="MV83" s="33"/>
      <c r="NF83" s="33"/>
      <c r="NP83" s="33"/>
      <c r="NZ83" s="33"/>
      <c r="OJ83" s="33"/>
      <c r="OT83" s="33"/>
      <c r="PD83" s="33"/>
      <c r="PN83" s="33"/>
      <c r="PX83" s="33"/>
      <c r="QH83" s="33"/>
      <c r="QR83" s="33"/>
      <c r="RB83" s="33"/>
      <c r="RL83" s="33"/>
      <c r="RV83" s="33"/>
      <c r="SF83" s="33"/>
      <c r="SP83" s="33"/>
      <c r="SZ83" s="33"/>
      <c r="TJ83" s="33"/>
      <c r="TT83" s="33"/>
      <c r="UD83" s="33"/>
      <c r="UN83" s="33"/>
      <c r="UX83" s="33"/>
      <c r="VH83" s="33"/>
      <c r="VR83" s="33"/>
      <c r="WB83" s="33"/>
      <c r="WL83" s="33"/>
      <c r="WV83" s="33"/>
      <c r="XF83" s="33"/>
      <c r="XP83" s="33"/>
      <c r="XZ83" s="33"/>
      <c r="YJ83" s="33"/>
      <c r="YT83" s="33"/>
      <c r="ZD83" s="33"/>
      <c r="ZN83" s="33"/>
      <c r="ZX83" s="33"/>
      <c r="AAH83" s="33"/>
      <c r="AAR83" s="33"/>
      <c r="ABB83" s="33"/>
      <c r="ABL83" s="33"/>
      <c r="ABV83" s="33"/>
      <c r="ACF83" s="33"/>
      <c r="ACP83" s="33"/>
      <c r="ACZ83" s="33"/>
      <c r="ADJ83" s="33"/>
      <c r="ADT83" s="33"/>
      <c r="AED83" s="33"/>
      <c r="AEN83" s="33"/>
      <c r="AEX83" s="33"/>
      <c r="AFH83" s="33"/>
      <c r="AFR83" s="33"/>
      <c r="AGB83" s="33"/>
      <c r="AGL83" s="33"/>
      <c r="AGV83" s="33"/>
      <c r="AHF83" s="33"/>
      <c r="AHP83" s="33"/>
      <c r="AHZ83" s="33"/>
      <c r="AIJ83" s="33"/>
      <c r="AIT83" s="33"/>
      <c r="AJD83" s="33"/>
      <c r="AJN83" s="33"/>
      <c r="AJX83" s="33"/>
      <c r="AKH83" s="33"/>
      <c r="AKR83" s="33"/>
      <c r="ALB83" s="33"/>
      <c r="ALL83" s="33"/>
      <c r="ALV83" s="33"/>
      <c r="AMF83" s="33"/>
      <c r="AMP83" s="33"/>
      <c r="AMZ83" s="33"/>
      <c r="ANJ83" s="33"/>
      <c r="ANT83" s="33"/>
      <c r="AOD83" s="33"/>
      <c r="AON83" s="33"/>
      <c r="AOX83" s="33"/>
      <c r="APH83" s="33"/>
      <c r="APR83" s="33"/>
      <c r="AQB83" s="33"/>
      <c r="AQL83" s="33"/>
      <c r="AQV83" s="33"/>
      <c r="ARF83" s="33"/>
      <c r="ARP83" s="33"/>
      <c r="ARZ83" s="33"/>
      <c r="ASJ83" s="33"/>
      <c r="AST83" s="33"/>
      <c r="ATD83" s="33"/>
      <c r="ATN83" s="33"/>
      <c r="ATX83" s="33"/>
      <c r="AUH83" s="33"/>
      <c r="AUR83" s="33"/>
      <c r="AVB83" s="33"/>
      <c r="AVL83" s="33"/>
      <c r="AVV83" s="33"/>
      <c r="AWF83" s="33"/>
      <c r="AWP83" s="33"/>
      <c r="AWZ83" s="33"/>
      <c r="AXJ83" s="33"/>
      <c r="AXT83" s="33"/>
      <c r="AYD83" s="33"/>
      <c r="AYN83" s="33"/>
      <c r="AYX83" s="33"/>
      <c r="AZH83" s="33"/>
      <c r="AZR83" s="33"/>
      <c r="BAB83" s="33"/>
      <c r="BAL83" s="33"/>
      <c r="BAV83" s="33"/>
      <c r="BBF83" s="33"/>
      <c r="BBP83" s="33"/>
      <c r="BBZ83" s="33"/>
      <c r="BCJ83" s="33"/>
      <c r="BCT83" s="33"/>
      <c r="BDD83" s="33"/>
      <c r="BDN83" s="33"/>
      <c r="BDX83" s="33"/>
      <c r="BEH83" s="33"/>
      <c r="BER83" s="33"/>
      <c r="BFB83" s="33"/>
      <c r="BFL83" s="33"/>
      <c r="BFV83" s="33"/>
      <c r="BGF83" s="33"/>
      <c r="BGP83" s="33"/>
      <c r="BGZ83" s="33"/>
      <c r="BHJ83" s="33"/>
      <c r="BHT83" s="33"/>
      <c r="BID83" s="33"/>
      <c r="BIN83" s="33"/>
      <c r="BIX83" s="33"/>
      <c r="BJH83" s="33"/>
      <c r="BJR83" s="33"/>
      <c r="BKB83" s="33"/>
      <c r="BKL83" s="33"/>
      <c r="BKV83" s="33"/>
      <c r="BLF83" s="33"/>
      <c r="BLP83" s="33"/>
      <c r="BLZ83" s="33"/>
      <c r="BMJ83" s="33"/>
      <c r="BMT83" s="33"/>
      <c r="BND83" s="33"/>
      <c r="BNN83" s="33"/>
      <c r="BNX83" s="33"/>
      <c r="BOH83" s="33"/>
      <c r="BOR83" s="33"/>
      <c r="BPB83" s="33"/>
      <c r="BPL83" s="33"/>
      <c r="BPV83" s="33"/>
      <c r="BQF83" s="33"/>
      <c r="BQP83" s="33"/>
      <c r="BQZ83" s="33"/>
      <c r="BRJ83" s="33"/>
      <c r="BRT83" s="33"/>
      <c r="BSD83" s="33"/>
      <c r="BSN83" s="33"/>
      <c r="BSX83" s="33"/>
      <c r="BTH83" s="33"/>
      <c r="BTR83" s="33"/>
      <c r="BUB83" s="33"/>
      <c r="BUL83" s="33"/>
      <c r="BUV83" s="33"/>
      <c r="BVF83" s="33"/>
      <c r="BVP83" s="33"/>
      <c r="BVZ83" s="33"/>
      <c r="BWJ83" s="33"/>
      <c r="BWT83" s="33"/>
      <c r="BXD83" s="33"/>
      <c r="BXN83" s="33"/>
      <c r="BXX83" s="33"/>
      <c r="BYH83" s="33"/>
      <c r="BYR83" s="33"/>
      <c r="BZB83" s="33"/>
      <c r="BZL83" s="33"/>
      <c r="BZV83" s="33"/>
      <c r="CAF83" s="33"/>
      <c r="CAP83" s="33"/>
      <c r="CAZ83" s="33"/>
      <c r="CBJ83" s="33"/>
      <c r="CBT83" s="33"/>
      <c r="CCD83" s="33"/>
      <c r="CCN83" s="33"/>
      <c r="CCX83" s="33"/>
      <c r="CDH83" s="33"/>
      <c r="CDR83" s="33"/>
      <c r="CEB83" s="33"/>
      <c r="CEL83" s="33"/>
      <c r="CEV83" s="33"/>
      <c r="CFF83" s="33"/>
      <c r="CFP83" s="33"/>
      <c r="CFZ83" s="33"/>
      <c r="CGJ83" s="33"/>
      <c r="CGT83" s="33"/>
      <c r="CHD83" s="33"/>
      <c r="CHN83" s="33"/>
      <c r="CHX83" s="33"/>
      <c r="CIH83" s="33"/>
      <c r="CIR83" s="33"/>
      <c r="CJB83" s="33"/>
      <c r="CJL83" s="33"/>
      <c r="CJV83" s="33"/>
      <c r="CKF83" s="33"/>
      <c r="CKP83" s="33"/>
      <c r="CKZ83" s="33"/>
      <c r="CLJ83" s="33"/>
      <c r="CLT83" s="33"/>
      <c r="CMD83" s="33"/>
      <c r="CMN83" s="33"/>
      <c r="CMX83" s="33"/>
      <c r="CNH83" s="33"/>
      <c r="CNR83" s="33"/>
      <c r="COB83" s="33"/>
      <c r="COL83" s="33"/>
      <c r="COV83" s="33"/>
      <c r="CPF83" s="33"/>
      <c r="CPP83" s="33"/>
      <c r="CPZ83" s="33"/>
      <c r="CQJ83" s="33"/>
      <c r="CQT83" s="33"/>
      <c r="CRD83" s="33"/>
      <c r="CRN83" s="33"/>
      <c r="CRX83" s="33"/>
      <c r="CSH83" s="33"/>
      <c r="CSR83" s="33"/>
      <c r="CTB83" s="33"/>
      <c r="CTL83" s="33"/>
      <c r="CTV83" s="33"/>
    </row>
    <row r="84" s="16" customFormat="1" customHeight="1" spans="1:1020 1030:2040 2050:2570">
      <c r="A84" s="57"/>
      <c r="B84" s="52"/>
      <c r="C84" s="52"/>
      <c r="D84" s="52"/>
      <c r="E84" s="52"/>
      <c r="F84" s="58" t="str">
        <f>IFERROR(VLOOKUP(E84,日报!E:G,2,0),"")</f>
        <v/>
      </c>
      <c r="G84" s="52"/>
      <c r="H84" s="53" t="str">
        <f>IFERROR(VLOOKUP(E84,基础数据!$E$4:$H$4,4,0),"")</f>
        <v/>
      </c>
      <c r="I84" s="53" t="str">
        <f>IFERROR(VLOOKUP(E84,基础数据!$E$4:$H$4,3,0),"")</f>
        <v/>
      </c>
      <c r="J84" s="52"/>
      <c r="K84" s="54" t="str">
        <f t="shared" si="1"/>
        <v/>
      </c>
      <c r="T84" s="33"/>
      <c r="AD84" s="33"/>
      <c r="AN84" s="33"/>
      <c r="AX84" s="33"/>
      <c r="BH84" s="33"/>
      <c r="BR84" s="33"/>
      <c r="CB84" s="33"/>
      <c r="CL84" s="33"/>
      <c r="CV84" s="33"/>
      <c r="DF84" s="33"/>
      <c r="DP84" s="33"/>
      <c r="DZ84" s="33"/>
      <c r="EJ84" s="33"/>
      <c r="ET84" s="33"/>
      <c r="FD84" s="33"/>
      <c r="FN84" s="33"/>
      <c r="FX84" s="33"/>
      <c r="GH84" s="33"/>
      <c r="GR84" s="33"/>
      <c r="HB84" s="33"/>
      <c r="HL84" s="33"/>
      <c r="HV84" s="33"/>
      <c r="IF84" s="33"/>
      <c r="IP84" s="33"/>
      <c r="IZ84" s="33"/>
      <c r="JJ84" s="33"/>
      <c r="JT84" s="33"/>
      <c r="KD84" s="33"/>
      <c r="KN84" s="33"/>
      <c r="KX84" s="33"/>
      <c r="LH84" s="33"/>
      <c r="LR84" s="33"/>
      <c r="MB84" s="33"/>
      <c r="ML84" s="33"/>
      <c r="MV84" s="33"/>
      <c r="NF84" s="33"/>
      <c r="NP84" s="33"/>
      <c r="NZ84" s="33"/>
      <c r="OJ84" s="33"/>
      <c r="OT84" s="33"/>
      <c r="PD84" s="33"/>
      <c r="PN84" s="33"/>
      <c r="PX84" s="33"/>
      <c r="QH84" s="33"/>
      <c r="QR84" s="33"/>
      <c r="RB84" s="33"/>
      <c r="RL84" s="33"/>
      <c r="RV84" s="33"/>
      <c r="SF84" s="33"/>
      <c r="SP84" s="33"/>
      <c r="SZ84" s="33"/>
      <c r="TJ84" s="33"/>
      <c r="TT84" s="33"/>
      <c r="UD84" s="33"/>
      <c r="UN84" s="33"/>
      <c r="UX84" s="33"/>
      <c r="VH84" s="33"/>
      <c r="VR84" s="33"/>
      <c r="WB84" s="33"/>
      <c r="WL84" s="33"/>
      <c r="WV84" s="33"/>
      <c r="XF84" s="33"/>
      <c r="XP84" s="33"/>
      <c r="XZ84" s="33"/>
      <c r="YJ84" s="33"/>
      <c r="YT84" s="33"/>
      <c r="ZD84" s="33"/>
      <c r="ZN84" s="33"/>
      <c r="ZX84" s="33"/>
      <c r="AAH84" s="33"/>
      <c r="AAR84" s="33"/>
      <c r="ABB84" s="33"/>
      <c r="ABL84" s="33"/>
      <c r="ABV84" s="33"/>
      <c r="ACF84" s="33"/>
      <c r="ACP84" s="33"/>
      <c r="ACZ84" s="33"/>
      <c r="ADJ84" s="33"/>
      <c r="ADT84" s="33"/>
      <c r="AED84" s="33"/>
      <c r="AEN84" s="33"/>
      <c r="AEX84" s="33"/>
      <c r="AFH84" s="33"/>
      <c r="AFR84" s="33"/>
      <c r="AGB84" s="33"/>
      <c r="AGL84" s="33"/>
      <c r="AGV84" s="33"/>
      <c r="AHF84" s="33"/>
      <c r="AHP84" s="33"/>
      <c r="AHZ84" s="33"/>
      <c r="AIJ84" s="33"/>
      <c r="AIT84" s="33"/>
      <c r="AJD84" s="33"/>
      <c r="AJN84" s="33"/>
      <c r="AJX84" s="33"/>
      <c r="AKH84" s="33"/>
      <c r="AKR84" s="33"/>
      <c r="ALB84" s="33"/>
      <c r="ALL84" s="33"/>
      <c r="ALV84" s="33"/>
      <c r="AMF84" s="33"/>
      <c r="AMP84" s="33"/>
      <c r="AMZ84" s="33"/>
      <c r="ANJ84" s="33"/>
      <c r="ANT84" s="33"/>
      <c r="AOD84" s="33"/>
      <c r="AON84" s="33"/>
      <c r="AOX84" s="33"/>
      <c r="APH84" s="33"/>
      <c r="APR84" s="33"/>
      <c r="AQB84" s="33"/>
      <c r="AQL84" s="33"/>
      <c r="AQV84" s="33"/>
      <c r="ARF84" s="33"/>
      <c r="ARP84" s="33"/>
      <c r="ARZ84" s="33"/>
      <c r="ASJ84" s="33"/>
      <c r="AST84" s="33"/>
      <c r="ATD84" s="33"/>
      <c r="ATN84" s="33"/>
      <c r="ATX84" s="33"/>
      <c r="AUH84" s="33"/>
      <c r="AUR84" s="33"/>
      <c r="AVB84" s="33"/>
      <c r="AVL84" s="33"/>
      <c r="AVV84" s="33"/>
      <c r="AWF84" s="33"/>
      <c r="AWP84" s="33"/>
      <c r="AWZ84" s="33"/>
      <c r="AXJ84" s="33"/>
      <c r="AXT84" s="33"/>
      <c r="AYD84" s="33"/>
      <c r="AYN84" s="33"/>
      <c r="AYX84" s="33"/>
      <c r="AZH84" s="33"/>
      <c r="AZR84" s="33"/>
      <c r="BAB84" s="33"/>
      <c r="BAL84" s="33"/>
      <c r="BAV84" s="33"/>
      <c r="BBF84" s="33"/>
      <c r="BBP84" s="33"/>
      <c r="BBZ84" s="33"/>
      <c r="BCJ84" s="33"/>
      <c r="BCT84" s="33"/>
      <c r="BDD84" s="33"/>
      <c r="BDN84" s="33"/>
      <c r="BDX84" s="33"/>
      <c r="BEH84" s="33"/>
      <c r="BER84" s="33"/>
      <c r="BFB84" s="33"/>
      <c r="BFL84" s="33"/>
      <c r="BFV84" s="33"/>
      <c r="BGF84" s="33"/>
      <c r="BGP84" s="33"/>
      <c r="BGZ84" s="33"/>
      <c r="BHJ84" s="33"/>
      <c r="BHT84" s="33"/>
      <c r="BID84" s="33"/>
      <c r="BIN84" s="33"/>
      <c r="BIX84" s="33"/>
      <c r="BJH84" s="33"/>
      <c r="BJR84" s="33"/>
      <c r="BKB84" s="33"/>
      <c r="BKL84" s="33"/>
      <c r="BKV84" s="33"/>
      <c r="BLF84" s="33"/>
      <c r="BLP84" s="33"/>
      <c r="BLZ84" s="33"/>
      <c r="BMJ84" s="33"/>
      <c r="BMT84" s="33"/>
      <c r="BND84" s="33"/>
      <c r="BNN84" s="33"/>
      <c r="BNX84" s="33"/>
      <c r="BOH84" s="33"/>
      <c r="BOR84" s="33"/>
      <c r="BPB84" s="33"/>
      <c r="BPL84" s="33"/>
      <c r="BPV84" s="33"/>
      <c r="BQF84" s="33"/>
      <c r="BQP84" s="33"/>
      <c r="BQZ84" s="33"/>
      <c r="BRJ84" s="33"/>
      <c r="BRT84" s="33"/>
      <c r="BSD84" s="33"/>
      <c r="BSN84" s="33"/>
      <c r="BSX84" s="33"/>
      <c r="BTH84" s="33"/>
      <c r="BTR84" s="33"/>
      <c r="BUB84" s="33"/>
      <c r="BUL84" s="33"/>
      <c r="BUV84" s="33"/>
      <c r="BVF84" s="33"/>
      <c r="BVP84" s="33"/>
      <c r="BVZ84" s="33"/>
      <c r="BWJ84" s="33"/>
      <c r="BWT84" s="33"/>
      <c r="BXD84" s="33"/>
      <c r="BXN84" s="33"/>
      <c r="BXX84" s="33"/>
      <c r="BYH84" s="33"/>
      <c r="BYR84" s="33"/>
      <c r="BZB84" s="33"/>
      <c r="BZL84" s="33"/>
      <c r="BZV84" s="33"/>
      <c r="CAF84" s="33"/>
      <c r="CAP84" s="33"/>
      <c r="CAZ84" s="33"/>
      <c r="CBJ84" s="33"/>
      <c r="CBT84" s="33"/>
      <c r="CCD84" s="33"/>
      <c r="CCN84" s="33"/>
      <c r="CCX84" s="33"/>
      <c r="CDH84" s="33"/>
      <c r="CDR84" s="33"/>
      <c r="CEB84" s="33"/>
      <c r="CEL84" s="33"/>
      <c r="CEV84" s="33"/>
      <c r="CFF84" s="33"/>
      <c r="CFP84" s="33"/>
      <c r="CFZ84" s="33"/>
      <c r="CGJ84" s="33"/>
      <c r="CGT84" s="33"/>
      <c r="CHD84" s="33"/>
      <c r="CHN84" s="33"/>
      <c r="CHX84" s="33"/>
      <c r="CIH84" s="33"/>
      <c r="CIR84" s="33"/>
      <c r="CJB84" s="33"/>
      <c r="CJL84" s="33"/>
      <c r="CJV84" s="33"/>
      <c r="CKF84" s="33"/>
      <c r="CKP84" s="33"/>
      <c r="CKZ84" s="33"/>
      <c r="CLJ84" s="33"/>
      <c r="CLT84" s="33"/>
      <c r="CMD84" s="33"/>
      <c r="CMN84" s="33"/>
      <c r="CMX84" s="33"/>
      <c r="CNH84" s="33"/>
      <c r="CNR84" s="33"/>
      <c r="COB84" s="33"/>
      <c r="COL84" s="33"/>
      <c r="COV84" s="33"/>
      <c r="CPF84" s="33"/>
      <c r="CPP84" s="33"/>
      <c r="CPZ84" s="33"/>
      <c r="CQJ84" s="33"/>
      <c r="CQT84" s="33"/>
      <c r="CRD84" s="33"/>
      <c r="CRN84" s="33"/>
      <c r="CRX84" s="33"/>
      <c r="CSH84" s="33"/>
      <c r="CSR84" s="33"/>
      <c r="CTB84" s="33"/>
      <c r="CTL84" s="33"/>
      <c r="CTV84" s="33"/>
    </row>
    <row r="85" s="16" customFormat="1" customHeight="1" spans="1:1020 1030:2040 2050:2570">
      <c r="A85" s="57"/>
      <c r="B85" s="52"/>
      <c r="C85" s="52"/>
      <c r="D85" s="52"/>
      <c r="E85" s="52"/>
      <c r="F85" s="58" t="str">
        <f>IFERROR(VLOOKUP(E85,日报!E:G,2,0),"")</f>
        <v/>
      </c>
      <c r="G85" s="52"/>
      <c r="H85" s="53" t="str">
        <f>IFERROR(VLOOKUP(E85,基础数据!$E$4:$H$4,4,0),"")</f>
        <v/>
      </c>
      <c r="I85" s="53" t="str">
        <f>IFERROR(VLOOKUP(E85,基础数据!$E$4:$H$4,3,0),"")</f>
        <v/>
      </c>
      <c r="J85" s="52"/>
      <c r="K85" s="54" t="str">
        <f t="shared" si="1"/>
        <v/>
      </c>
      <c r="T85" s="33"/>
      <c r="AD85" s="33"/>
      <c r="AN85" s="33"/>
      <c r="AX85" s="33"/>
      <c r="BH85" s="33"/>
      <c r="BR85" s="33"/>
      <c r="CB85" s="33"/>
      <c r="CL85" s="33"/>
      <c r="CV85" s="33"/>
      <c r="DF85" s="33"/>
      <c r="DP85" s="33"/>
      <c r="DZ85" s="33"/>
      <c r="EJ85" s="33"/>
      <c r="ET85" s="33"/>
      <c r="FD85" s="33"/>
      <c r="FN85" s="33"/>
      <c r="FX85" s="33"/>
      <c r="GH85" s="33"/>
      <c r="GR85" s="33"/>
      <c r="HB85" s="33"/>
      <c r="HL85" s="33"/>
      <c r="HV85" s="33"/>
      <c r="IF85" s="33"/>
      <c r="IP85" s="33"/>
      <c r="IZ85" s="33"/>
      <c r="JJ85" s="33"/>
      <c r="JT85" s="33"/>
      <c r="KD85" s="33"/>
      <c r="KN85" s="33"/>
      <c r="KX85" s="33"/>
      <c r="LH85" s="33"/>
      <c r="LR85" s="33"/>
      <c r="MB85" s="33"/>
      <c r="ML85" s="33"/>
      <c r="MV85" s="33"/>
      <c r="NF85" s="33"/>
      <c r="NP85" s="33"/>
      <c r="NZ85" s="33"/>
      <c r="OJ85" s="33"/>
      <c r="OT85" s="33"/>
      <c r="PD85" s="33"/>
      <c r="PN85" s="33"/>
      <c r="PX85" s="33"/>
      <c r="QH85" s="33"/>
      <c r="QR85" s="33"/>
      <c r="RB85" s="33"/>
      <c r="RL85" s="33"/>
      <c r="RV85" s="33"/>
      <c r="SF85" s="33"/>
      <c r="SP85" s="33"/>
      <c r="SZ85" s="33"/>
      <c r="TJ85" s="33"/>
      <c r="TT85" s="33"/>
      <c r="UD85" s="33"/>
      <c r="UN85" s="33"/>
      <c r="UX85" s="33"/>
      <c r="VH85" s="33"/>
      <c r="VR85" s="33"/>
      <c r="WB85" s="33"/>
      <c r="WL85" s="33"/>
      <c r="WV85" s="33"/>
      <c r="XF85" s="33"/>
      <c r="XP85" s="33"/>
      <c r="XZ85" s="33"/>
      <c r="YJ85" s="33"/>
      <c r="YT85" s="33"/>
      <c r="ZD85" s="33"/>
      <c r="ZN85" s="33"/>
      <c r="ZX85" s="33"/>
      <c r="AAH85" s="33"/>
      <c r="AAR85" s="33"/>
      <c r="ABB85" s="33"/>
      <c r="ABL85" s="33"/>
      <c r="ABV85" s="33"/>
      <c r="ACF85" s="33"/>
      <c r="ACP85" s="33"/>
      <c r="ACZ85" s="33"/>
      <c r="ADJ85" s="33"/>
      <c r="ADT85" s="33"/>
      <c r="AED85" s="33"/>
      <c r="AEN85" s="33"/>
      <c r="AEX85" s="33"/>
      <c r="AFH85" s="33"/>
      <c r="AFR85" s="33"/>
      <c r="AGB85" s="33"/>
      <c r="AGL85" s="33"/>
      <c r="AGV85" s="33"/>
      <c r="AHF85" s="33"/>
      <c r="AHP85" s="33"/>
      <c r="AHZ85" s="33"/>
      <c r="AIJ85" s="33"/>
      <c r="AIT85" s="33"/>
      <c r="AJD85" s="33"/>
      <c r="AJN85" s="33"/>
      <c r="AJX85" s="33"/>
      <c r="AKH85" s="33"/>
      <c r="AKR85" s="33"/>
      <c r="ALB85" s="33"/>
      <c r="ALL85" s="33"/>
      <c r="ALV85" s="33"/>
      <c r="AMF85" s="33"/>
      <c r="AMP85" s="33"/>
      <c r="AMZ85" s="33"/>
      <c r="ANJ85" s="33"/>
      <c r="ANT85" s="33"/>
      <c r="AOD85" s="33"/>
      <c r="AON85" s="33"/>
      <c r="AOX85" s="33"/>
      <c r="APH85" s="33"/>
      <c r="APR85" s="33"/>
      <c r="AQB85" s="33"/>
      <c r="AQL85" s="33"/>
      <c r="AQV85" s="33"/>
      <c r="ARF85" s="33"/>
      <c r="ARP85" s="33"/>
      <c r="ARZ85" s="33"/>
      <c r="ASJ85" s="33"/>
      <c r="AST85" s="33"/>
      <c r="ATD85" s="33"/>
      <c r="ATN85" s="33"/>
      <c r="ATX85" s="33"/>
      <c r="AUH85" s="33"/>
      <c r="AUR85" s="33"/>
      <c r="AVB85" s="33"/>
      <c r="AVL85" s="33"/>
      <c r="AVV85" s="33"/>
      <c r="AWF85" s="33"/>
      <c r="AWP85" s="33"/>
      <c r="AWZ85" s="33"/>
      <c r="AXJ85" s="33"/>
      <c r="AXT85" s="33"/>
      <c r="AYD85" s="33"/>
      <c r="AYN85" s="33"/>
      <c r="AYX85" s="33"/>
      <c r="AZH85" s="33"/>
      <c r="AZR85" s="33"/>
      <c r="BAB85" s="33"/>
      <c r="BAL85" s="33"/>
      <c r="BAV85" s="33"/>
      <c r="BBF85" s="33"/>
      <c r="BBP85" s="33"/>
      <c r="BBZ85" s="33"/>
      <c r="BCJ85" s="33"/>
      <c r="BCT85" s="33"/>
      <c r="BDD85" s="33"/>
      <c r="BDN85" s="33"/>
      <c r="BDX85" s="33"/>
      <c r="BEH85" s="33"/>
      <c r="BER85" s="33"/>
      <c r="BFB85" s="33"/>
      <c r="BFL85" s="33"/>
      <c r="BFV85" s="33"/>
      <c r="BGF85" s="33"/>
      <c r="BGP85" s="33"/>
      <c r="BGZ85" s="33"/>
      <c r="BHJ85" s="33"/>
      <c r="BHT85" s="33"/>
      <c r="BID85" s="33"/>
      <c r="BIN85" s="33"/>
      <c r="BIX85" s="33"/>
      <c r="BJH85" s="33"/>
      <c r="BJR85" s="33"/>
      <c r="BKB85" s="33"/>
      <c r="BKL85" s="33"/>
      <c r="BKV85" s="33"/>
      <c r="BLF85" s="33"/>
      <c r="BLP85" s="33"/>
      <c r="BLZ85" s="33"/>
      <c r="BMJ85" s="33"/>
      <c r="BMT85" s="33"/>
      <c r="BND85" s="33"/>
      <c r="BNN85" s="33"/>
      <c r="BNX85" s="33"/>
      <c r="BOH85" s="33"/>
      <c r="BOR85" s="33"/>
      <c r="BPB85" s="33"/>
      <c r="BPL85" s="33"/>
      <c r="BPV85" s="33"/>
      <c r="BQF85" s="33"/>
      <c r="BQP85" s="33"/>
      <c r="BQZ85" s="33"/>
      <c r="BRJ85" s="33"/>
      <c r="BRT85" s="33"/>
      <c r="BSD85" s="33"/>
      <c r="BSN85" s="33"/>
      <c r="BSX85" s="33"/>
      <c r="BTH85" s="33"/>
      <c r="BTR85" s="33"/>
      <c r="BUB85" s="33"/>
      <c r="BUL85" s="33"/>
      <c r="BUV85" s="33"/>
      <c r="BVF85" s="33"/>
      <c r="BVP85" s="33"/>
      <c r="BVZ85" s="33"/>
      <c r="BWJ85" s="33"/>
      <c r="BWT85" s="33"/>
      <c r="BXD85" s="33"/>
      <c r="BXN85" s="33"/>
      <c r="BXX85" s="33"/>
      <c r="BYH85" s="33"/>
      <c r="BYR85" s="33"/>
      <c r="BZB85" s="33"/>
      <c r="BZL85" s="33"/>
      <c r="BZV85" s="33"/>
      <c r="CAF85" s="33"/>
      <c r="CAP85" s="33"/>
      <c r="CAZ85" s="33"/>
      <c r="CBJ85" s="33"/>
      <c r="CBT85" s="33"/>
      <c r="CCD85" s="33"/>
      <c r="CCN85" s="33"/>
      <c r="CCX85" s="33"/>
      <c r="CDH85" s="33"/>
      <c r="CDR85" s="33"/>
      <c r="CEB85" s="33"/>
      <c r="CEL85" s="33"/>
      <c r="CEV85" s="33"/>
      <c r="CFF85" s="33"/>
      <c r="CFP85" s="33"/>
      <c r="CFZ85" s="33"/>
      <c r="CGJ85" s="33"/>
      <c r="CGT85" s="33"/>
      <c r="CHD85" s="33"/>
      <c r="CHN85" s="33"/>
      <c r="CHX85" s="33"/>
      <c r="CIH85" s="33"/>
      <c r="CIR85" s="33"/>
      <c r="CJB85" s="33"/>
      <c r="CJL85" s="33"/>
      <c r="CJV85" s="33"/>
      <c r="CKF85" s="33"/>
      <c r="CKP85" s="33"/>
      <c r="CKZ85" s="33"/>
      <c r="CLJ85" s="33"/>
      <c r="CLT85" s="33"/>
      <c r="CMD85" s="33"/>
      <c r="CMN85" s="33"/>
      <c r="CMX85" s="33"/>
      <c r="CNH85" s="33"/>
      <c r="CNR85" s="33"/>
      <c r="COB85" s="33"/>
      <c r="COL85" s="33"/>
      <c r="COV85" s="33"/>
      <c r="CPF85" s="33"/>
      <c r="CPP85" s="33"/>
      <c r="CPZ85" s="33"/>
      <c r="CQJ85" s="33"/>
      <c r="CQT85" s="33"/>
      <c r="CRD85" s="33"/>
      <c r="CRN85" s="33"/>
      <c r="CRX85" s="33"/>
      <c r="CSH85" s="33"/>
      <c r="CSR85" s="33"/>
      <c r="CTB85" s="33"/>
      <c r="CTL85" s="33"/>
      <c r="CTV85" s="33"/>
    </row>
    <row r="86" s="16" customFormat="1" customHeight="1" spans="1:1020 1030:2040 2050:2570">
      <c r="A86" s="57"/>
      <c r="B86" s="52"/>
      <c r="C86" s="52"/>
      <c r="D86" s="52"/>
      <c r="E86" s="52"/>
      <c r="F86" s="58" t="str">
        <f>IFERROR(VLOOKUP(E86,日报!E:G,2,0),"")</f>
        <v/>
      </c>
      <c r="G86" s="52"/>
      <c r="H86" s="53" t="str">
        <f>IFERROR(VLOOKUP(E86,基础数据!$E$4:$H$4,4,0),"")</f>
        <v/>
      </c>
      <c r="I86" s="53" t="str">
        <f>IFERROR(VLOOKUP(E86,基础数据!$E$4:$H$4,3,0),"")</f>
        <v/>
      </c>
      <c r="J86" s="52"/>
      <c r="K86" s="54" t="str">
        <f t="shared" si="1"/>
        <v/>
      </c>
      <c r="T86" s="33"/>
      <c r="AD86" s="33"/>
      <c r="AN86" s="33"/>
      <c r="AX86" s="33"/>
      <c r="BH86" s="33"/>
      <c r="BR86" s="33"/>
      <c r="CB86" s="33"/>
      <c r="CL86" s="33"/>
      <c r="CV86" s="33"/>
      <c r="DF86" s="33"/>
      <c r="DP86" s="33"/>
      <c r="DZ86" s="33"/>
      <c r="EJ86" s="33"/>
      <c r="ET86" s="33"/>
      <c r="FD86" s="33"/>
      <c r="FN86" s="33"/>
      <c r="FX86" s="33"/>
      <c r="GH86" s="33"/>
      <c r="GR86" s="33"/>
      <c r="HB86" s="33"/>
      <c r="HL86" s="33"/>
      <c r="HV86" s="33"/>
      <c r="IF86" s="33"/>
      <c r="IP86" s="33"/>
      <c r="IZ86" s="33"/>
      <c r="JJ86" s="33"/>
      <c r="JT86" s="33"/>
      <c r="KD86" s="33"/>
      <c r="KN86" s="33"/>
      <c r="KX86" s="33"/>
      <c r="LH86" s="33"/>
      <c r="LR86" s="33"/>
      <c r="MB86" s="33"/>
      <c r="ML86" s="33"/>
      <c r="MV86" s="33"/>
      <c r="NF86" s="33"/>
      <c r="NP86" s="33"/>
      <c r="NZ86" s="33"/>
      <c r="OJ86" s="33"/>
      <c r="OT86" s="33"/>
      <c r="PD86" s="33"/>
      <c r="PN86" s="33"/>
      <c r="PX86" s="33"/>
      <c r="QH86" s="33"/>
      <c r="QR86" s="33"/>
      <c r="RB86" s="33"/>
      <c r="RL86" s="33"/>
      <c r="RV86" s="33"/>
      <c r="SF86" s="33"/>
      <c r="SP86" s="33"/>
      <c r="SZ86" s="33"/>
      <c r="TJ86" s="33"/>
      <c r="TT86" s="33"/>
      <c r="UD86" s="33"/>
      <c r="UN86" s="33"/>
      <c r="UX86" s="33"/>
      <c r="VH86" s="33"/>
      <c r="VR86" s="33"/>
      <c r="WB86" s="33"/>
      <c r="WL86" s="33"/>
      <c r="WV86" s="33"/>
      <c r="XF86" s="33"/>
      <c r="XP86" s="33"/>
      <c r="XZ86" s="33"/>
      <c r="YJ86" s="33"/>
      <c r="YT86" s="33"/>
      <c r="ZD86" s="33"/>
      <c r="ZN86" s="33"/>
      <c r="ZX86" s="33"/>
      <c r="AAH86" s="33"/>
      <c r="AAR86" s="33"/>
      <c r="ABB86" s="33"/>
      <c r="ABL86" s="33"/>
      <c r="ABV86" s="33"/>
      <c r="ACF86" s="33"/>
      <c r="ACP86" s="33"/>
      <c r="ACZ86" s="33"/>
      <c r="ADJ86" s="33"/>
      <c r="ADT86" s="33"/>
      <c r="AED86" s="33"/>
      <c r="AEN86" s="33"/>
      <c r="AEX86" s="33"/>
      <c r="AFH86" s="33"/>
      <c r="AFR86" s="33"/>
      <c r="AGB86" s="33"/>
      <c r="AGL86" s="33"/>
      <c r="AGV86" s="33"/>
      <c r="AHF86" s="33"/>
      <c r="AHP86" s="33"/>
      <c r="AHZ86" s="33"/>
      <c r="AIJ86" s="33"/>
      <c r="AIT86" s="33"/>
      <c r="AJD86" s="33"/>
      <c r="AJN86" s="33"/>
      <c r="AJX86" s="33"/>
      <c r="AKH86" s="33"/>
      <c r="AKR86" s="33"/>
      <c r="ALB86" s="33"/>
      <c r="ALL86" s="33"/>
      <c r="ALV86" s="33"/>
      <c r="AMF86" s="33"/>
      <c r="AMP86" s="33"/>
      <c r="AMZ86" s="33"/>
      <c r="ANJ86" s="33"/>
      <c r="ANT86" s="33"/>
      <c r="AOD86" s="33"/>
      <c r="AON86" s="33"/>
      <c r="AOX86" s="33"/>
      <c r="APH86" s="33"/>
      <c r="APR86" s="33"/>
      <c r="AQB86" s="33"/>
      <c r="AQL86" s="33"/>
      <c r="AQV86" s="33"/>
      <c r="ARF86" s="33"/>
      <c r="ARP86" s="33"/>
      <c r="ARZ86" s="33"/>
      <c r="ASJ86" s="33"/>
      <c r="AST86" s="33"/>
      <c r="ATD86" s="33"/>
      <c r="ATN86" s="33"/>
      <c r="ATX86" s="33"/>
      <c r="AUH86" s="33"/>
      <c r="AUR86" s="33"/>
      <c r="AVB86" s="33"/>
      <c r="AVL86" s="33"/>
      <c r="AVV86" s="33"/>
      <c r="AWF86" s="33"/>
      <c r="AWP86" s="33"/>
      <c r="AWZ86" s="33"/>
      <c r="AXJ86" s="33"/>
      <c r="AXT86" s="33"/>
      <c r="AYD86" s="33"/>
      <c r="AYN86" s="33"/>
      <c r="AYX86" s="33"/>
      <c r="AZH86" s="33"/>
      <c r="AZR86" s="33"/>
      <c r="BAB86" s="33"/>
      <c r="BAL86" s="33"/>
      <c r="BAV86" s="33"/>
      <c r="BBF86" s="33"/>
      <c r="BBP86" s="33"/>
      <c r="BBZ86" s="33"/>
      <c r="BCJ86" s="33"/>
      <c r="BCT86" s="33"/>
      <c r="BDD86" s="33"/>
      <c r="BDN86" s="33"/>
      <c r="BDX86" s="33"/>
      <c r="BEH86" s="33"/>
      <c r="BER86" s="33"/>
      <c r="BFB86" s="33"/>
      <c r="BFL86" s="33"/>
      <c r="BFV86" s="33"/>
      <c r="BGF86" s="33"/>
      <c r="BGP86" s="33"/>
      <c r="BGZ86" s="33"/>
      <c r="BHJ86" s="33"/>
      <c r="BHT86" s="33"/>
      <c r="BID86" s="33"/>
      <c r="BIN86" s="33"/>
      <c r="BIX86" s="33"/>
      <c r="BJH86" s="33"/>
      <c r="BJR86" s="33"/>
      <c r="BKB86" s="33"/>
      <c r="BKL86" s="33"/>
      <c r="BKV86" s="33"/>
      <c r="BLF86" s="33"/>
      <c r="BLP86" s="33"/>
      <c r="BLZ86" s="33"/>
      <c r="BMJ86" s="33"/>
      <c r="BMT86" s="33"/>
      <c r="BND86" s="33"/>
      <c r="BNN86" s="33"/>
      <c r="BNX86" s="33"/>
      <c r="BOH86" s="33"/>
      <c r="BOR86" s="33"/>
      <c r="BPB86" s="33"/>
      <c r="BPL86" s="33"/>
      <c r="BPV86" s="33"/>
      <c r="BQF86" s="33"/>
      <c r="BQP86" s="33"/>
      <c r="BQZ86" s="33"/>
      <c r="BRJ86" s="33"/>
      <c r="BRT86" s="33"/>
      <c r="BSD86" s="33"/>
      <c r="BSN86" s="33"/>
      <c r="BSX86" s="33"/>
      <c r="BTH86" s="33"/>
      <c r="BTR86" s="33"/>
      <c r="BUB86" s="33"/>
      <c r="BUL86" s="33"/>
      <c r="BUV86" s="33"/>
      <c r="BVF86" s="33"/>
      <c r="BVP86" s="33"/>
      <c r="BVZ86" s="33"/>
      <c r="BWJ86" s="33"/>
      <c r="BWT86" s="33"/>
      <c r="BXD86" s="33"/>
      <c r="BXN86" s="33"/>
      <c r="BXX86" s="33"/>
      <c r="BYH86" s="33"/>
      <c r="BYR86" s="33"/>
      <c r="BZB86" s="33"/>
      <c r="BZL86" s="33"/>
      <c r="BZV86" s="33"/>
      <c r="CAF86" s="33"/>
      <c r="CAP86" s="33"/>
      <c r="CAZ86" s="33"/>
      <c r="CBJ86" s="33"/>
      <c r="CBT86" s="33"/>
      <c r="CCD86" s="33"/>
      <c r="CCN86" s="33"/>
      <c r="CCX86" s="33"/>
      <c r="CDH86" s="33"/>
      <c r="CDR86" s="33"/>
      <c r="CEB86" s="33"/>
      <c r="CEL86" s="33"/>
      <c r="CEV86" s="33"/>
      <c r="CFF86" s="33"/>
      <c r="CFP86" s="33"/>
      <c r="CFZ86" s="33"/>
      <c r="CGJ86" s="33"/>
      <c r="CGT86" s="33"/>
      <c r="CHD86" s="33"/>
      <c r="CHN86" s="33"/>
      <c r="CHX86" s="33"/>
      <c r="CIH86" s="33"/>
      <c r="CIR86" s="33"/>
      <c r="CJB86" s="33"/>
      <c r="CJL86" s="33"/>
      <c r="CJV86" s="33"/>
      <c r="CKF86" s="33"/>
      <c r="CKP86" s="33"/>
      <c r="CKZ86" s="33"/>
      <c r="CLJ86" s="33"/>
      <c r="CLT86" s="33"/>
      <c r="CMD86" s="33"/>
      <c r="CMN86" s="33"/>
      <c r="CMX86" s="33"/>
      <c r="CNH86" s="33"/>
      <c r="CNR86" s="33"/>
      <c r="COB86" s="33"/>
      <c r="COL86" s="33"/>
      <c r="COV86" s="33"/>
      <c r="CPF86" s="33"/>
      <c r="CPP86" s="33"/>
      <c r="CPZ86" s="33"/>
      <c r="CQJ86" s="33"/>
      <c r="CQT86" s="33"/>
      <c r="CRD86" s="33"/>
      <c r="CRN86" s="33"/>
      <c r="CRX86" s="33"/>
      <c r="CSH86" s="33"/>
      <c r="CSR86" s="33"/>
      <c r="CTB86" s="33"/>
      <c r="CTL86" s="33"/>
      <c r="CTV86" s="33"/>
    </row>
    <row r="87" s="16" customFormat="1" customHeight="1" spans="1:1020 1030:2040 2050:2570">
      <c r="A87" s="57"/>
      <c r="B87" s="52"/>
      <c r="C87" s="52"/>
      <c r="D87" s="52"/>
      <c r="E87" s="52"/>
      <c r="F87" s="58" t="str">
        <f>IFERROR(VLOOKUP(E87,日报!E:G,2,0),"")</f>
        <v/>
      </c>
      <c r="G87" s="52"/>
      <c r="H87" s="53" t="str">
        <f>IFERROR(VLOOKUP(E87,基础数据!$E$4:$H$4,4,0),"")</f>
        <v/>
      </c>
      <c r="I87" s="53" t="str">
        <f>IFERROR(VLOOKUP(E87,基础数据!$E$4:$H$4,3,0),"")</f>
        <v/>
      </c>
      <c r="J87" s="52"/>
      <c r="K87" s="54" t="str">
        <f t="shared" si="1"/>
        <v/>
      </c>
      <c r="T87" s="33"/>
      <c r="AD87" s="33"/>
      <c r="AN87" s="33"/>
      <c r="AX87" s="33"/>
      <c r="BH87" s="33"/>
      <c r="BR87" s="33"/>
      <c r="CB87" s="33"/>
      <c r="CL87" s="33"/>
      <c r="CV87" s="33"/>
      <c r="DF87" s="33"/>
      <c r="DP87" s="33"/>
      <c r="DZ87" s="33"/>
      <c r="EJ87" s="33"/>
      <c r="ET87" s="33"/>
      <c r="FD87" s="33"/>
      <c r="FN87" s="33"/>
      <c r="FX87" s="33"/>
      <c r="GH87" s="33"/>
      <c r="GR87" s="33"/>
      <c r="HB87" s="33"/>
      <c r="HL87" s="33"/>
      <c r="HV87" s="33"/>
      <c r="IF87" s="33"/>
      <c r="IP87" s="33"/>
      <c r="IZ87" s="33"/>
      <c r="JJ87" s="33"/>
      <c r="JT87" s="33"/>
      <c r="KD87" s="33"/>
      <c r="KN87" s="33"/>
      <c r="KX87" s="33"/>
      <c r="LH87" s="33"/>
      <c r="LR87" s="33"/>
      <c r="MB87" s="33"/>
      <c r="ML87" s="33"/>
      <c r="MV87" s="33"/>
      <c r="NF87" s="33"/>
      <c r="NP87" s="33"/>
      <c r="NZ87" s="33"/>
      <c r="OJ87" s="33"/>
      <c r="OT87" s="33"/>
      <c r="PD87" s="33"/>
      <c r="PN87" s="33"/>
      <c r="PX87" s="33"/>
      <c r="QH87" s="33"/>
      <c r="QR87" s="33"/>
      <c r="RB87" s="33"/>
      <c r="RL87" s="33"/>
      <c r="RV87" s="33"/>
      <c r="SF87" s="33"/>
      <c r="SP87" s="33"/>
      <c r="SZ87" s="33"/>
      <c r="TJ87" s="33"/>
      <c r="TT87" s="33"/>
      <c r="UD87" s="33"/>
      <c r="UN87" s="33"/>
      <c r="UX87" s="33"/>
      <c r="VH87" s="33"/>
      <c r="VR87" s="33"/>
      <c r="WB87" s="33"/>
      <c r="WL87" s="33"/>
      <c r="WV87" s="33"/>
      <c r="XF87" s="33"/>
      <c r="XP87" s="33"/>
      <c r="XZ87" s="33"/>
      <c r="YJ87" s="33"/>
      <c r="YT87" s="33"/>
      <c r="ZD87" s="33"/>
      <c r="ZN87" s="33"/>
      <c r="ZX87" s="33"/>
      <c r="AAH87" s="33"/>
      <c r="AAR87" s="33"/>
      <c r="ABB87" s="33"/>
      <c r="ABL87" s="33"/>
      <c r="ABV87" s="33"/>
      <c r="ACF87" s="33"/>
      <c r="ACP87" s="33"/>
      <c r="ACZ87" s="33"/>
      <c r="ADJ87" s="33"/>
      <c r="ADT87" s="33"/>
      <c r="AED87" s="33"/>
      <c r="AEN87" s="33"/>
      <c r="AEX87" s="33"/>
      <c r="AFH87" s="33"/>
      <c r="AFR87" s="33"/>
      <c r="AGB87" s="33"/>
      <c r="AGL87" s="33"/>
      <c r="AGV87" s="33"/>
      <c r="AHF87" s="33"/>
      <c r="AHP87" s="33"/>
      <c r="AHZ87" s="33"/>
      <c r="AIJ87" s="33"/>
      <c r="AIT87" s="33"/>
      <c r="AJD87" s="33"/>
      <c r="AJN87" s="33"/>
      <c r="AJX87" s="33"/>
      <c r="AKH87" s="33"/>
      <c r="AKR87" s="33"/>
      <c r="ALB87" s="33"/>
      <c r="ALL87" s="33"/>
      <c r="ALV87" s="33"/>
      <c r="AMF87" s="33"/>
      <c r="AMP87" s="33"/>
      <c r="AMZ87" s="33"/>
      <c r="ANJ87" s="33"/>
      <c r="ANT87" s="33"/>
      <c r="AOD87" s="33"/>
      <c r="AON87" s="33"/>
      <c r="AOX87" s="33"/>
      <c r="APH87" s="33"/>
      <c r="APR87" s="33"/>
      <c r="AQB87" s="33"/>
      <c r="AQL87" s="33"/>
      <c r="AQV87" s="33"/>
      <c r="ARF87" s="33"/>
      <c r="ARP87" s="33"/>
      <c r="ARZ87" s="33"/>
      <c r="ASJ87" s="33"/>
      <c r="AST87" s="33"/>
      <c r="ATD87" s="33"/>
      <c r="ATN87" s="33"/>
      <c r="ATX87" s="33"/>
      <c r="AUH87" s="33"/>
      <c r="AUR87" s="33"/>
      <c r="AVB87" s="33"/>
      <c r="AVL87" s="33"/>
      <c r="AVV87" s="33"/>
      <c r="AWF87" s="33"/>
      <c r="AWP87" s="33"/>
      <c r="AWZ87" s="33"/>
      <c r="AXJ87" s="33"/>
      <c r="AXT87" s="33"/>
      <c r="AYD87" s="33"/>
      <c r="AYN87" s="33"/>
      <c r="AYX87" s="33"/>
      <c r="AZH87" s="33"/>
      <c r="AZR87" s="33"/>
      <c r="BAB87" s="33"/>
      <c r="BAL87" s="33"/>
      <c r="BAV87" s="33"/>
      <c r="BBF87" s="33"/>
      <c r="BBP87" s="33"/>
      <c r="BBZ87" s="33"/>
      <c r="BCJ87" s="33"/>
      <c r="BCT87" s="33"/>
      <c r="BDD87" s="33"/>
      <c r="BDN87" s="33"/>
      <c r="BDX87" s="33"/>
      <c r="BEH87" s="33"/>
      <c r="BER87" s="33"/>
      <c r="BFB87" s="33"/>
      <c r="BFL87" s="33"/>
      <c r="BFV87" s="33"/>
      <c r="BGF87" s="33"/>
      <c r="BGP87" s="33"/>
      <c r="BGZ87" s="33"/>
      <c r="BHJ87" s="33"/>
      <c r="BHT87" s="33"/>
      <c r="BID87" s="33"/>
      <c r="BIN87" s="33"/>
      <c r="BIX87" s="33"/>
      <c r="BJH87" s="33"/>
      <c r="BJR87" s="33"/>
      <c r="BKB87" s="33"/>
      <c r="BKL87" s="33"/>
      <c r="BKV87" s="33"/>
      <c r="BLF87" s="33"/>
      <c r="BLP87" s="33"/>
      <c r="BLZ87" s="33"/>
      <c r="BMJ87" s="33"/>
      <c r="BMT87" s="33"/>
      <c r="BND87" s="33"/>
      <c r="BNN87" s="33"/>
      <c r="BNX87" s="33"/>
      <c r="BOH87" s="33"/>
      <c r="BOR87" s="33"/>
      <c r="BPB87" s="33"/>
      <c r="BPL87" s="33"/>
      <c r="BPV87" s="33"/>
      <c r="BQF87" s="33"/>
      <c r="BQP87" s="33"/>
      <c r="BQZ87" s="33"/>
      <c r="BRJ87" s="33"/>
      <c r="BRT87" s="33"/>
      <c r="BSD87" s="33"/>
      <c r="BSN87" s="33"/>
      <c r="BSX87" s="33"/>
      <c r="BTH87" s="33"/>
      <c r="BTR87" s="33"/>
      <c r="BUB87" s="33"/>
      <c r="BUL87" s="33"/>
      <c r="BUV87" s="33"/>
      <c r="BVF87" s="33"/>
      <c r="BVP87" s="33"/>
      <c r="BVZ87" s="33"/>
      <c r="BWJ87" s="33"/>
      <c r="BWT87" s="33"/>
      <c r="BXD87" s="33"/>
      <c r="BXN87" s="33"/>
      <c r="BXX87" s="33"/>
      <c r="BYH87" s="33"/>
      <c r="BYR87" s="33"/>
      <c r="BZB87" s="33"/>
      <c r="BZL87" s="33"/>
      <c r="BZV87" s="33"/>
      <c r="CAF87" s="33"/>
      <c r="CAP87" s="33"/>
      <c r="CAZ87" s="33"/>
      <c r="CBJ87" s="33"/>
      <c r="CBT87" s="33"/>
      <c r="CCD87" s="33"/>
      <c r="CCN87" s="33"/>
      <c r="CCX87" s="33"/>
      <c r="CDH87" s="33"/>
      <c r="CDR87" s="33"/>
      <c r="CEB87" s="33"/>
      <c r="CEL87" s="33"/>
      <c r="CEV87" s="33"/>
      <c r="CFF87" s="33"/>
      <c r="CFP87" s="33"/>
      <c r="CFZ87" s="33"/>
      <c r="CGJ87" s="33"/>
      <c r="CGT87" s="33"/>
      <c r="CHD87" s="33"/>
      <c r="CHN87" s="33"/>
      <c r="CHX87" s="33"/>
      <c r="CIH87" s="33"/>
      <c r="CIR87" s="33"/>
      <c r="CJB87" s="33"/>
      <c r="CJL87" s="33"/>
      <c r="CJV87" s="33"/>
      <c r="CKF87" s="33"/>
      <c r="CKP87" s="33"/>
      <c r="CKZ87" s="33"/>
      <c r="CLJ87" s="33"/>
      <c r="CLT87" s="33"/>
      <c r="CMD87" s="33"/>
      <c r="CMN87" s="33"/>
      <c r="CMX87" s="33"/>
      <c r="CNH87" s="33"/>
      <c r="CNR87" s="33"/>
      <c r="COB87" s="33"/>
      <c r="COL87" s="33"/>
      <c r="COV87" s="33"/>
      <c r="CPF87" s="33"/>
      <c r="CPP87" s="33"/>
      <c r="CPZ87" s="33"/>
      <c r="CQJ87" s="33"/>
      <c r="CQT87" s="33"/>
      <c r="CRD87" s="33"/>
      <c r="CRN87" s="33"/>
      <c r="CRX87" s="33"/>
      <c r="CSH87" s="33"/>
      <c r="CSR87" s="33"/>
      <c r="CTB87" s="33"/>
      <c r="CTL87" s="33"/>
      <c r="CTV87" s="33"/>
    </row>
    <row r="88" s="16" customFormat="1" customHeight="1" spans="1:1020 1030:2040 2050:2570">
      <c r="A88" s="57"/>
      <c r="B88" s="52"/>
      <c r="C88" s="52"/>
      <c r="D88" s="52"/>
      <c r="E88" s="52"/>
      <c r="F88" s="58" t="str">
        <f>IFERROR(VLOOKUP(E88,日报!E:G,2,0),"")</f>
        <v/>
      </c>
      <c r="G88" s="52"/>
      <c r="H88" s="53" t="str">
        <f>IFERROR(VLOOKUP(E88,基础数据!$E$4:$H$4,4,0),"")</f>
        <v/>
      </c>
      <c r="I88" s="53" t="str">
        <f>IFERROR(VLOOKUP(E88,基础数据!$E$4:$H$4,3,0),"")</f>
        <v/>
      </c>
      <c r="J88" s="52"/>
      <c r="K88" s="54" t="str">
        <f t="shared" si="1"/>
        <v/>
      </c>
      <c r="T88" s="33"/>
      <c r="AD88" s="33"/>
      <c r="AN88" s="33"/>
      <c r="AX88" s="33"/>
      <c r="BH88" s="33"/>
      <c r="BR88" s="33"/>
      <c r="CB88" s="33"/>
      <c r="CL88" s="33"/>
      <c r="CV88" s="33"/>
      <c r="DF88" s="33"/>
      <c r="DP88" s="33"/>
      <c r="DZ88" s="33"/>
      <c r="EJ88" s="33"/>
      <c r="ET88" s="33"/>
      <c r="FD88" s="33"/>
      <c r="FN88" s="33"/>
      <c r="FX88" s="33"/>
      <c r="GH88" s="33"/>
      <c r="GR88" s="33"/>
      <c r="HB88" s="33"/>
      <c r="HL88" s="33"/>
      <c r="HV88" s="33"/>
      <c r="IF88" s="33"/>
      <c r="IP88" s="33"/>
      <c r="IZ88" s="33"/>
      <c r="JJ88" s="33"/>
      <c r="JT88" s="33"/>
      <c r="KD88" s="33"/>
      <c r="KN88" s="33"/>
      <c r="KX88" s="33"/>
      <c r="LH88" s="33"/>
      <c r="LR88" s="33"/>
      <c r="MB88" s="33"/>
      <c r="ML88" s="33"/>
      <c r="MV88" s="33"/>
      <c r="NF88" s="33"/>
      <c r="NP88" s="33"/>
      <c r="NZ88" s="33"/>
      <c r="OJ88" s="33"/>
      <c r="OT88" s="33"/>
      <c r="PD88" s="33"/>
      <c r="PN88" s="33"/>
      <c r="PX88" s="33"/>
      <c r="QH88" s="33"/>
      <c r="QR88" s="33"/>
      <c r="RB88" s="33"/>
      <c r="RL88" s="33"/>
      <c r="RV88" s="33"/>
      <c r="SF88" s="33"/>
      <c r="SP88" s="33"/>
      <c r="SZ88" s="33"/>
      <c r="TJ88" s="33"/>
      <c r="TT88" s="33"/>
      <c r="UD88" s="33"/>
      <c r="UN88" s="33"/>
      <c r="UX88" s="33"/>
      <c r="VH88" s="33"/>
      <c r="VR88" s="33"/>
      <c r="WB88" s="33"/>
      <c r="WL88" s="33"/>
      <c r="WV88" s="33"/>
      <c r="XF88" s="33"/>
      <c r="XP88" s="33"/>
      <c r="XZ88" s="33"/>
      <c r="YJ88" s="33"/>
      <c r="YT88" s="33"/>
      <c r="ZD88" s="33"/>
      <c r="ZN88" s="33"/>
      <c r="ZX88" s="33"/>
      <c r="AAH88" s="33"/>
      <c r="AAR88" s="33"/>
      <c r="ABB88" s="33"/>
      <c r="ABL88" s="33"/>
      <c r="ABV88" s="33"/>
      <c r="ACF88" s="33"/>
      <c r="ACP88" s="33"/>
      <c r="ACZ88" s="33"/>
      <c r="ADJ88" s="33"/>
      <c r="ADT88" s="33"/>
      <c r="AED88" s="33"/>
      <c r="AEN88" s="33"/>
      <c r="AEX88" s="33"/>
      <c r="AFH88" s="33"/>
      <c r="AFR88" s="33"/>
      <c r="AGB88" s="33"/>
      <c r="AGL88" s="33"/>
      <c r="AGV88" s="33"/>
      <c r="AHF88" s="33"/>
      <c r="AHP88" s="33"/>
      <c r="AHZ88" s="33"/>
      <c r="AIJ88" s="33"/>
      <c r="AIT88" s="33"/>
      <c r="AJD88" s="33"/>
      <c r="AJN88" s="33"/>
      <c r="AJX88" s="33"/>
      <c r="AKH88" s="33"/>
      <c r="AKR88" s="33"/>
      <c r="ALB88" s="33"/>
      <c r="ALL88" s="33"/>
      <c r="ALV88" s="33"/>
      <c r="AMF88" s="33"/>
      <c r="AMP88" s="33"/>
      <c r="AMZ88" s="33"/>
      <c r="ANJ88" s="33"/>
      <c r="ANT88" s="33"/>
      <c r="AOD88" s="33"/>
      <c r="AON88" s="33"/>
      <c r="AOX88" s="33"/>
      <c r="APH88" s="33"/>
      <c r="APR88" s="33"/>
      <c r="AQB88" s="33"/>
      <c r="AQL88" s="33"/>
      <c r="AQV88" s="33"/>
      <c r="ARF88" s="33"/>
      <c r="ARP88" s="33"/>
      <c r="ARZ88" s="33"/>
      <c r="ASJ88" s="33"/>
      <c r="AST88" s="33"/>
      <c r="ATD88" s="33"/>
      <c r="ATN88" s="33"/>
      <c r="ATX88" s="33"/>
      <c r="AUH88" s="33"/>
      <c r="AUR88" s="33"/>
      <c r="AVB88" s="33"/>
      <c r="AVL88" s="33"/>
      <c r="AVV88" s="33"/>
      <c r="AWF88" s="33"/>
      <c r="AWP88" s="33"/>
      <c r="AWZ88" s="33"/>
      <c r="AXJ88" s="33"/>
      <c r="AXT88" s="33"/>
      <c r="AYD88" s="33"/>
      <c r="AYN88" s="33"/>
      <c r="AYX88" s="33"/>
      <c r="AZH88" s="33"/>
      <c r="AZR88" s="33"/>
      <c r="BAB88" s="33"/>
      <c r="BAL88" s="33"/>
      <c r="BAV88" s="33"/>
      <c r="BBF88" s="33"/>
      <c r="BBP88" s="33"/>
      <c r="BBZ88" s="33"/>
      <c r="BCJ88" s="33"/>
      <c r="BCT88" s="33"/>
      <c r="BDD88" s="33"/>
      <c r="BDN88" s="33"/>
      <c r="BDX88" s="33"/>
      <c r="BEH88" s="33"/>
      <c r="BER88" s="33"/>
      <c r="BFB88" s="33"/>
      <c r="BFL88" s="33"/>
      <c r="BFV88" s="33"/>
      <c r="BGF88" s="33"/>
      <c r="BGP88" s="33"/>
      <c r="BGZ88" s="33"/>
      <c r="BHJ88" s="33"/>
      <c r="BHT88" s="33"/>
      <c r="BID88" s="33"/>
      <c r="BIN88" s="33"/>
      <c r="BIX88" s="33"/>
      <c r="BJH88" s="33"/>
      <c r="BJR88" s="33"/>
      <c r="BKB88" s="33"/>
      <c r="BKL88" s="33"/>
      <c r="BKV88" s="33"/>
      <c r="BLF88" s="33"/>
      <c r="BLP88" s="33"/>
      <c r="BLZ88" s="33"/>
      <c r="BMJ88" s="33"/>
      <c r="BMT88" s="33"/>
      <c r="BND88" s="33"/>
      <c r="BNN88" s="33"/>
      <c r="BNX88" s="33"/>
      <c r="BOH88" s="33"/>
      <c r="BOR88" s="33"/>
      <c r="BPB88" s="33"/>
      <c r="BPL88" s="33"/>
      <c r="BPV88" s="33"/>
      <c r="BQF88" s="33"/>
      <c r="BQP88" s="33"/>
      <c r="BQZ88" s="33"/>
      <c r="BRJ88" s="33"/>
      <c r="BRT88" s="33"/>
      <c r="BSD88" s="33"/>
      <c r="BSN88" s="33"/>
      <c r="BSX88" s="33"/>
      <c r="BTH88" s="33"/>
      <c r="BTR88" s="33"/>
      <c r="BUB88" s="33"/>
      <c r="BUL88" s="33"/>
      <c r="BUV88" s="33"/>
      <c r="BVF88" s="33"/>
      <c r="BVP88" s="33"/>
      <c r="BVZ88" s="33"/>
      <c r="BWJ88" s="33"/>
      <c r="BWT88" s="33"/>
      <c r="BXD88" s="33"/>
      <c r="BXN88" s="33"/>
      <c r="BXX88" s="33"/>
      <c r="BYH88" s="33"/>
      <c r="BYR88" s="33"/>
      <c r="BZB88" s="33"/>
      <c r="BZL88" s="33"/>
      <c r="BZV88" s="33"/>
      <c r="CAF88" s="33"/>
      <c r="CAP88" s="33"/>
      <c r="CAZ88" s="33"/>
      <c r="CBJ88" s="33"/>
      <c r="CBT88" s="33"/>
      <c r="CCD88" s="33"/>
      <c r="CCN88" s="33"/>
      <c r="CCX88" s="33"/>
      <c r="CDH88" s="33"/>
      <c r="CDR88" s="33"/>
      <c r="CEB88" s="33"/>
      <c r="CEL88" s="33"/>
      <c r="CEV88" s="33"/>
      <c r="CFF88" s="33"/>
      <c r="CFP88" s="33"/>
      <c r="CFZ88" s="33"/>
      <c r="CGJ88" s="33"/>
      <c r="CGT88" s="33"/>
      <c r="CHD88" s="33"/>
      <c r="CHN88" s="33"/>
      <c r="CHX88" s="33"/>
      <c r="CIH88" s="33"/>
      <c r="CIR88" s="33"/>
      <c r="CJB88" s="33"/>
      <c r="CJL88" s="33"/>
      <c r="CJV88" s="33"/>
      <c r="CKF88" s="33"/>
      <c r="CKP88" s="33"/>
      <c r="CKZ88" s="33"/>
      <c r="CLJ88" s="33"/>
      <c r="CLT88" s="33"/>
      <c r="CMD88" s="33"/>
      <c r="CMN88" s="33"/>
      <c r="CMX88" s="33"/>
      <c r="CNH88" s="33"/>
      <c r="CNR88" s="33"/>
      <c r="COB88" s="33"/>
      <c r="COL88" s="33"/>
      <c r="COV88" s="33"/>
      <c r="CPF88" s="33"/>
      <c r="CPP88" s="33"/>
      <c r="CPZ88" s="33"/>
      <c r="CQJ88" s="33"/>
      <c r="CQT88" s="33"/>
      <c r="CRD88" s="33"/>
      <c r="CRN88" s="33"/>
      <c r="CRX88" s="33"/>
      <c r="CSH88" s="33"/>
      <c r="CSR88" s="33"/>
      <c r="CTB88" s="33"/>
      <c r="CTL88" s="33"/>
      <c r="CTV88" s="33"/>
    </row>
    <row r="89" s="16" customFormat="1" customHeight="1" spans="1:1020 1030:2040 2050:2570">
      <c r="A89" s="57"/>
      <c r="B89" s="52"/>
      <c r="C89" s="52"/>
      <c r="D89" s="52"/>
      <c r="E89" s="52"/>
      <c r="F89" s="58" t="str">
        <f>IFERROR(VLOOKUP(E89,日报!E:G,2,0),"")</f>
        <v/>
      </c>
      <c r="G89" s="52"/>
      <c r="H89" s="53" t="str">
        <f>IFERROR(VLOOKUP(E89,基础数据!$E$4:$H$4,4,0),"")</f>
        <v/>
      </c>
      <c r="I89" s="53" t="str">
        <f>IFERROR(VLOOKUP(E89,基础数据!$E$4:$H$4,3,0),"")</f>
        <v/>
      </c>
      <c r="J89" s="52"/>
      <c r="K89" s="54" t="str">
        <f t="shared" si="1"/>
        <v/>
      </c>
      <c r="T89" s="33"/>
      <c r="AD89" s="33"/>
      <c r="AN89" s="33"/>
      <c r="AX89" s="33"/>
      <c r="BH89" s="33"/>
      <c r="BR89" s="33"/>
      <c r="CB89" s="33"/>
      <c r="CL89" s="33"/>
      <c r="CV89" s="33"/>
      <c r="DF89" s="33"/>
      <c r="DP89" s="33"/>
      <c r="DZ89" s="33"/>
      <c r="EJ89" s="33"/>
      <c r="ET89" s="33"/>
      <c r="FD89" s="33"/>
      <c r="FN89" s="33"/>
      <c r="FX89" s="33"/>
      <c r="GH89" s="33"/>
      <c r="GR89" s="33"/>
      <c r="HB89" s="33"/>
      <c r="HL89" s="33"/>
      <c r="HV89" s="33"/>
      <c r="IF89" s="33"/>
      <c r="IP89" s="33"/>
      <c r="IZ89" s="33"/>
      <c r="JJ89" s="33"/>
      <c r="JT89" s="33"/>
      <c r="KD89" s="33"/>
      <c r="KN89" s="33"/>
      <c r="KX89" s="33"/>
      <c r="LH89" s="33"/>
      <c r="LR89" s="33"/>
      <c r="MB89" s="33"/>
      <c r="ML89" s="33"/>
      <c r="MV89" s="33"/>
      <c r="NF89" s="33"/>
      <c r="NP89" s="33"/>
      <c r="NZ89" s="33"/>
      <c r="OJ89" s="33"/>
      <c r="OT89" s="33"/>
      <c r="PD89" s="33"/>
      <c r="PN89" s="33"/>
      <c r="PX89" s="33"/>
      <c r="QH89" s="33"/>
      <c r="QR89" s="33"/>
      <c r="RB89" s="33"/>
      <c r="RL89" s="33"/>
      <c r="RV89" s="33"/>
      <c r="SF89" s="33"/>
      <c r="SP89" s="33"/>
      <c r="SZ89" s="33"/>
      <c r="TJ89" s="33"/>
      <c r="TT89" s="33"/>
      <c r="UD89" s="33"/>
      <c r="UN89" s="33"/>
      <c r="UX89" s="33"/>
      <c r="VH89" s="33"/>
      <c r="VR89" s="33"/>
      <c r="WB89" s="33"/>
      <c r="WL89" s="33"/>
      <c r="WV89" s="33"/>
      <c r="XF89" s="33"/>
      <c r="XP89" s="33"/>
      <c r="XZ89" s="33"/>
      <c r="YJ89" s="33"/>
      <c r="YT89" s="33"/>
      <c r="ZD89" s="33"/>
      <c r="ZN89" s="33"/>
      <c r="ZX89" s="33"/>
      <c r="AAH89" s="33"/>
      <c r="AAR89" s="33"/>
      <c r="ABB89" s="33"/>
      <c r="ABL89" s="33"/>
      <c r="ABV89" s="33"/>
      <c r="ACF89" s="33"/>
      <c r="ACP89" s="33"/>
      <c r="ACZ89" s="33"/>
      <c r="ADJ89" s="33"/>
      <c r="ADT89" s="33"/>
      <c r="AED89" s="33"/>
      <c r="AEN89" s="33"/>
      <c r="AEX89" s="33"/>
      <c r="AFH89" s="33"/>
      <c r="AFR89" s="33"/>
      <c r="AGB89" s="33"/>
      <c r="AGL89" s="33"/>
      <c r="AGV89" s="33"/>
      <c r="AHF89" s="33"/>
      <c r="AHP89" s="33"/>
      <c r="AHZ89" s="33"/>
      <c r="AIJ89" s="33"/>
      <c r="AIT89" s="33"/>
      <c r="AJD89" s="33"/>
      <c r="AJN89" s="33"/>
      <c r="AJX89" s="33"/>
      <c r="AKH89" s="33"/>
      <c r="AKR89" s="33"/>
      <c r="ALB89" s="33"/>
      <c r="ALL89" s="33"/>
      <c r="ALV89" s="33"/>
      <c r="AMF89" s="33"/>
      <c r="AMP89" s="33"/>
      <c r="AMZ89" s="33"/>
      <c r="ANJ89" s="33"/>
      <c r="ANT89" s="33"/>
      <c r="AOD89" s="33"/>
      <c r="AON89" s="33"/>
      <c r="AOX89" s="33"/>
      <c r="APH89" s="33"/>
      <c r="APR89" s="33"/>
      <c r="AQB89" s="33"/>
      <c r="AQL89" s="33"/>
      <c r="AQV89" s="33"/>
      <c r="ARF89" s="33"/>
      <c r="ARP89" s="33"/>
      <c r="ARZ89" s="33"/>
      <c r="ASJ89" s="33"/>
      <c r="AST89" s="33"/>
      <c r="ATD89" s="33"/>
      <c r="ATN89" s="33"/>
      <c r="ATX89" s="33"/>
      <c r="AUH89" s="33"/>
      <c r="AUR89" s="33"/>
      <c r="AVB89" s="33"/>
      <c r="AVL89" s="33"/>
      <c r="AVV89" s="33"/>
      <c r="AWF89" s="33"/>
      <c r="AWP89" s="33"/>
      <c r="AWZ89" s="33"/>
      <c r="AXJ89" s="33"/>
      <c r="AXT89" s="33"/>
      <c r="AYD89" s="33"/>
      <c r="AYN89" s="33"/>
      <c r="AYX89" s="33"/>
      <c r="AZH89" s="33"/>
      <c r="AZR89" s="33"/>
      <c r="BAB89" s="33"/>
      <c r="BAL89" s="33"/>
      <c r="BAV89" s="33"/>
      <c r="BBF89" s="33"/>
      <c r="BBP89" s="33"/>
      <c r="BBZ89" s="33"/>
      <c r="BCJ89" s="33"/>
      <c r="BCT89" s="33"/>
      <c r="BDD89" s="33"/>
      <c r="BDN89" s="33"/>
      <c r="BDX89" s="33"/>
      <c r="BEH89" s="33"/>
      <c r="BER89" s="33"/>
      <c r="BFB89" s="33"/>
      <c r="BFL89" s="33"/>
      <c r="BFV89" s="33"/>
      <c r="BGF89" s="33"/>
      <c r="BGP89" s="33"/>
      <c r="BGZ89" s="33"/>
      <c r="BHJ89" s="33"/>
      <c r="BHT89" s="33"/>
      <c r="BID89" s="33"/>
      <c r="BIN89" s="33"/>
      <c r="BIX89" s="33"/>
      <c r="BJH89" s="33"/>
      <c r="BJR89" s="33"/>
      <c r="BKB89" s="33"/>
      <c r="BKL89" s="33"/>
      <c r="BKV89" s="33"/>
      <c r="BLF89" s="33"/>
      <c r="BLP89" s="33"/>
      <c r="BLZ89" s="33"/>
      <c r="BMJ89" s="33"/>
      <c r="BMT89" s="33"/>
      <c r="BND89" s="33"/>
      <c r="BNN89" s="33"/>
      <c r="BNX89" s="33"/>
      <c r="BOH89" s="33"/>
      <c r="BOR89" s="33"/>
      <c r="BPB89" s="33"/>
      <c r="BPL89" s="33"/>
      <c r="BPV89" s="33"/>
      <c r="BQF89" s="33"/>
      <c r="BQP89" s="33"/>
      <c r="BQZ89" s="33"/>
      <c r="BRJ89" s="33"/>
      <c r="BRT89" s="33"/>
      <c r="BSD89" s="33"/>
      <c r="BSN89" s="33"/>
      <c r="BSX89" s="33"/>
      <c r="BTH89" s="33"/>
      <c r="BTR89" s="33"/>
      <c r="BUB89" s="33"/>
      <c r="BUL89" s="33"/>
      <c r="BUV89" s="33"/>
      <c r="BVF89" s="33"/>
      <c r="BVP89" s="33"/>
      <c r="BVZ89" s="33"/>
      <c r="BWJ89" s="33"/>
      <c r="BWT89" s="33"/>
      <c r="BXD89" s="33"/>
      <c r="BXN89" s="33"/>
      <c r="BXX89" s="33"/>
      <c r="BYH89" s="33"/>
      <c r="BYR89" s="33"/>
      <c r="BZB89" s="33"/>
      <c r="BZL89" s="33"/>
      <c r="BZV89" s="33"/>
      <c r="CAF89" s="33"/>
      <c r="CAP89" s="33"/>
      <c r="CAZ89" s="33"/>
      <c r="CBJ89" s="33"/>
      <c r="CBT89" s="33"/>
      <c r="CCD89" s="33"/>
      <c r="CCN89" s="33"/>
      <c r="CCX89" s="33"/>
      <c r="CDH89" s="33"/>
      <c r="CDR89" s="33"/>
      <c r="CEB89" s="33"/>
      <c r="CEL89" s="33"/>
      <c r="CEV89" s="33"/>
      <c r="CFF89" s="33"/>
      <c r="CFP89" s="33"/>
      <c r="CFZ89" s="33"/>
      <c r="CGJ89" s="33"/>
      <c r="CGT89" s="33"/>
      <c r="CHD89" s="33"/>
      <c r="CHN89" s="33"/>
      <c r="CHX89" s="33"/>
      <c r="CIH89" s="33"/>
      <c r="CIR89" s="33"/>
      <c r="CJB89" s="33"/>
      <c r="CJL89" s="33"/>
      <c r="CJV89" s="33"/>
      <c r="CKF89" s="33"/>
      <c r="CKP89" s="33"/>
      <c r="CKZ89" s="33"/>
      <c r="CLJ89" s="33"/>
      <c r="CLT89" s="33"/>
      <c r="CMD89" s="33"/>
      <c r="CMN89" s="33"/>
      <c r="CMX89" s="33"/>
      <c r="CNH89" s="33"/>
      <c r="CNR89" s="33"/>
      <c r="COB89" s="33"/>
      <c r="COL89" s="33"/>
      <c r="COV89" s="33"/>
      <c r="CPF89" s="33"/>
      <c r="CPP89" s="33"/>
      <c r="CPZ89" s="33"/>
      <c r="CQJ89" s="33"/>
      <c r="CQT89" s="33"/>
      <c r="CRD89" s="33"/>
      <c r="CRN89" s="33"/>
      <c r="CRX89" s="33"/>
      <c r="CSH89" s="33"/>
      <c r="CSR89" s="33"/>
      <c r="CTB89" s="33"/>
      <c r="CTL89" s="33"/>
      <c r="CTV89" s="33"/>
    </row>
    <row r="90" s="16" customFormat="1" customHeight="1" spans="1:1020 1030:2040 2050:2570">
      <c r="A90" s="57"/>
      <c r="B90" s="52"/>
      <c r="C90" s="52"/>
      <c r="D90" s="52"/>
      <c r="E90" s="52"/>
      <c r="F90" s="58" t="str">
        <f>IFERROR(VLOOKUP(E90,日报!E:G,2,0),"")</f>
        <v/>
      </c>
      <c r="G90" s="52"/>
      <c r="H90" s="53" t="str">
        <f>IFERROR(VLOOKUP(E90,基础数据!$E$4:$H$4,4,0),"")</f>
        <v/>
      </c>
      <c r="I90" s="53" t="str">
        <f>IFERROR(VLOOKUP(E90,基础数据!$E$4:$H$4,3,0),"")</f>
        <v/>
      </c>
      <c r="J90" s="52"/>
      <c r="K90" s="54" t="str">
        <f t="shared" si="1"/>
        <v/>
      </c>
      <c r="T90" s="33"/>
      <c r="AD90" s="33"/>
      <c r="AN90" s="33"/>
      <c r="AX90" s="33"/>
      <c r="BH90" s="33"/>
      <c r="BR90" s="33"/>
      <c r="CB90" s="33"/>
      <c r="CL90" s="33"/>
      <c r="CV90" s="33"/>
      <c r="DF90" s="33"/>
      <c r="DP90" s="33"/>
      <c r="DZ90" s="33"/>
      <c r="EJ90" s="33"/>
      <c r="ET90" s="33"/>
      <c r="FD90" s="33"/>
      <c r="FN90" s="33"/>
      <c r="FX90" s="33"/>
      <c r="GH90" s="33"/>
      <c r="GR90" s="33"/>
      <c r="HB90" s="33"/>
      <c r="HL90" s="33"/>
      <c r="HV90" s="33"/>
      <c r="IF90" s="33"/>
      <c r="IP90" s="33"/>
      <c r="IZ90" s="33"/>
      <c r="JJ90" s="33"/>
      <c r="JT90" s="33"/>
      <c r="KD90" s="33"/>
      <c r="KN90" s="33"/>
      <c r="KX90" s="33"/>
      <c r="LH90" s="33"/>
      <c r="LR90" s="33"/>
      <c r="MB90" s="33"/>
      <c r="ML90" s="33"/>
      <c r="MV90" s="33"/>
      <c r="NF90" s="33"/>
      <c r="NP90" s="33"/>
      <c r="NZ90" s="33"/>
      <c r="OJ90" s="33"/>
      <c r="OT90" s="33"/>
      <c r="PD90" s="33"/>
      <c r="PN90" s="33"/>
      <c r="PX90" s="33"/>
      <c r="QH90" s="33"/>
      <c r="QR90" s="33"/>
      <c r="RB90" s="33"/>
      <c r="RL90" s="33"/>
      <c r="RV90" s="33"/>
      <c r="SF90" s="33"/>
      <c r="SP90" s="33"/>
      <c r="SZ90" s="33"/>
      <c r="TJ90" s="33"/>
      <c r="TT90" s="33"/>
      <c r="UD90" s="33"/>
      <c r="UN90" s="33"/>
      <c r="UX90" s="33"/>
      <c r="VH90" s="33"/>
      <c r="VR90" s="33"/>
      <c r="WB90" s="33"/>
      <c r="WL90" s="33"/>
      <c r="WV90" s="33"/>
      <c r="XF90" s="33"/>
      <c r="XP90" s="33"/>
      <c r="XZ90" s="33"/>
      <c r="YJ90" s="33"/>
      <c r="YT90" s="33"/>
      <c r="ZD90" s="33"/>
      <c r="ZN90" s="33"/>
      <c r="ZX90" s="33"/>
      <c r="AAH90" s="33"/>
      <c r="AAR90" s="33"/>
      <c r="ABB90" s="33"/>
      <c r="ABL90" s="33"/>
      <c r="ABV90" s="33"/>
      <c r="ACF90" s="33"/>
      <c r="ACP90" s="33"/>
      <c r="ACZ90" s="33"/>
      <c r="ADJ90" s="33"/>
      <c r="ADT90" s="33"/>
      <c r="AED90" s="33"/>
      <c r="AEN90" s="33"/>
      <c r="AEX90" s="33"/>
      <c r="AFH90" s="33"/>
      <c r="AFR90" s="33"/>
      <c r="AGB90" s="33"/>
      <c r="AGL90" s="33"/>
      <c r="AGV90" s="33"/>
      <c r="AHF90" s="33"/>
      <c r="AHP90" s="33"/>
      <c r="AHZ90" s="33"/>
      <c r="AIJ90" s="33"/>
      <c r="AIT90" s="33"/>
      <c r="AJD90" s="33"/>
      <c r="AJN90" s="33"/>
      <c r="AJX90" s="33"/>
      <c r="AKH90" s="33"/>
      <c r="AKR90" s="33"/>
      <c r="ALB90" s="33"/>
      <c r="ALL90" s="33"/>
      <c r="ALV90" s="33"/>
      <c r="AMF90" s="33"/>
      <c r="AMP90" s="33"/>
      <c r="AMZ90" s="33"/>
      <c r="ANJ90" s="33"/>
      <c r="ANT90" s="33"/>
      <c r="AOD90" s="33"/>
      <c r="AON90" s="33"/>
      <c r="AOX90" s="33"/>
      <c r="APH90" s="33"/>
      <c r="APR90" s="33"/>
      <c r="AQB90" s="33"/>
      <c r="AQL90" s="33"/>
      <c r="AQV90" s="33"/>
      <c r="ARF90" s="33"/>
      <c r="ARP90" s="33"/>
      <c r="ARZ90" s="33"/>
      <c r="ASJ90" s="33"/>
      <c r="AST90" s="33"/>
      <c r="ATD90" s="33"/>
      <c r="ATN90" s="33"/>
      <c r="ATX90" s="33"/>
      <c r="AUH90" s="33"/>
      <c r="AUR90" s="33"/>
      <c r="AVB90" s="33"/>
      <c r="AVL90" s="33"/>
      <c r="AVV90" s="33"/>
      <c r="AWF90" s="33"/>
      <c r="AWP90" s="33"/>
      <c r="AWZ90" s="33"/>
      <c r="AXJ90" s="33"/>
      <c r="AXT90" s="33"/>
      <c r="AYD90" s="33"/>
      <c r="AYN90" s="33"/>
      <c r="AYX90" s="33"/>
      <c r="AZH90" s="33"/>
      <c r="AZR90" s="33"/>
      <c r="BAB90" s="33"/>
      <c r="BAL90" s="33"/>
      <c r="BAV90" s="33"/>
      <c r="BBF90" s="33"/>
      <c r="BBP90" s="33"/>
      <c r="BBZ90" s="33"/>
      <c r="BCJ90" s="33"/>
      <c r="BCT90" s="33"/>
      <c r="BDD90" s="33"/>
      <c r="BDN90" s="33"/>
      <c r="BDX90" s="33"/>
      <c r="BEH90" s="33"/>
      <c r="BER90" s="33"/>
      <c r="BFB90" s="33"/>
      <c r="BFL90" s="33"/>
      <c r="BFV90" s="33"/>
      <c r="BGF90" s="33"/>
      <c r="BGP90" s="33"/>
      <c r="BGZ90" s="33"/>
      <c r="BHJ90" s="33"/>
      <c r="BHT90" s="33"/>
      <c r="BID90" s="33"/>
      <c r="BIN90" s="33"/>
      <c r="BIX90" s="33"/>
      <c r="BJH90" s="33"/>
      <c r="BJR90" s="33"/>
      <c r="BKB90" s="33"/>
      <c r="BKL90" s="33"/>
      <c r="BKV90" s="33"/>
      <c r="BLF90" s="33"/>
      <c r="BLP90" s="33"/>
      <c r="BLZ90" s="33"/>
      <c r="BMJ90" s="33"/>
      <c r="BMT90" s="33"/>
      <c r="BND90" s="33"/>
      <c r="BNN90" s="33"/>
      <c r="BNX90" s="33"/>
      <c r="BOH90" s="33"/>
      <c r="BOR90" s="33"/>
      <c r="BPB90" s="33"/>
      <c r="BPL90" s="33"/>
      <c r="BPV90" s="33"/>
      <c r="BQF90" s="33"/>
      <c r="BQP90" s="33"/>
      <c r="BQZ90" s="33"/>
      <c r="BRJ90" s="33"/>
      <c r="BRT90" s="33"/>
      <c r="BSD90" s="33"/>
      <c r="BSN90" s="33"/>
      <c r="BSX90" s="33"/>
      <c r="BTH90" s="33"/>
      <c r="BTR90" s="33"/>
      <c r="BUB90" s="33"/>
      <c r="BUL90" s="33"/>
      <c r="BUV90" s="33"/>
      <c r="BVF90" s="33"/>
      <c r="BVP90" s="33"/>
      <c r="BVZ90" s="33"/>
      <c r="BWJ90" s="33"/>
      <c r="BWT90" s="33"/>
      <c r="BXD90" s="33"/>
      <c r="BXN90" s="33"/>
      <c r="BXX90" s="33"/>
      <c r="BYH90" s="33"/>
      <c r="BYR90" s="33"/>
      <c r="BZB90" s="33"/>
      <c r="BZL90" s="33"/>
      <c r="BZV90" s="33"/>
      <c r="CAF90" s="33"/>
      <c r="CAP90" s="33"/>
      <c r="CAZ90" s="33"/>
      <c r="CBJ90" s="33"/>
      <c r="CBT90" s="33"/>
      <c r="CCD90" s="33"/>
      <c r="CCN90" s="33"/>
      <c r="CCX90" s="33"/>
      <c r="CDH90" s="33"/>
      <c r="CDR90" s="33"/>
      <c r="CEB90" s="33"/>
      <c r="CEL90" s="33"/>
      <c r="CEV90" s="33"/>
      <c r="CFF90" s="33"/>
      <c r="CFP90" s="33"/>
      <c r="CFZ90" s="33"/>
      <c r="CGJ90" s="33"/>
      <c r="CGT90" s="33"/>
      <c r="CHD90" s="33"/>
      <c r="CHN90" s="33"/>
      <c r="CHX90" s="33"/>
      <c r="CIH90" s="33"/>
      <c r="CIR90" s="33"/>
      <c r="CJB90" s="33"/>
      <c r="CJL90" s="33"/>
      <c r="CJV90" s="33"/>
      <c r="CKF90" s="33"/>
      <c r="CKP90" s="33"/>
      <c r="CKZ90" s="33"/>
      <c r="CLJ90" s="33"/>
      <c r="CLT90" s="33"/>
      <c r="CMD90" s="33"/>
      <c r="CMN90" s="33"/>
      <c r="CMX90" s="33"/>
      <c r="CNH90" s="33"/>
      <c r="CNR90" s="33"/>
      <c r="COB90" s="33"/>
      <c r="COL90" s="33"/>
      <c r="COV90" s="33"/>
      <c r="CPF90" s="33"/>
      <c r="CPP90" s="33"/>
      <c r="CPZ90" s="33"/>
      <c r="CQJ90" s="33"/>
      <c r="CQT90" s="33"/>
      <c r="CRD90" s="33"/>
      <c r="CRN90" s="33"/>
      <c r="CRX90" s="33"/>
      <c r="CSH90" s="33"/>
      <c r="CSR90" s="33"/>
      <c r="CTB90" s="33"/>
      <c r="CTL90" s="33"/>
      <c r="CTV90" s="33"/>
    </row>
    <row r="91" s="16" customFormat="1" customHeight="1" spans="1:1020 1030:2040 2050:2570">
      <c r="A91" s="57"/>
      <c r="B91" s="52"/>
      <c r="C91" s="52"/>
      <c r="D91" s="52"/>
      <c r="E91" s="52"/>
      <c r="F91" s="58" t="str">
        <f>IFERROR(VLOOKUP(E91,日报!E:G,2,0),"")</f>
        <v/>
      </c>
      <c r="G91" s="52"/>
      <c r="H91" s="53" t="str">
        <f>IFERROR(VLOOKUP(E91,基础数据!$E$4:$H$4,4,0),"")</f>
        <v/>
      </c>
      <c r="I91" s="53" t="str">
        <f>IFERROR(VLOOKUP(E91,基础数据!$E$4:$H$4,3,0),"")</f>
        <v/>
      </c>
      <c r="J91" s="52"/>
      <c r="K91" s="54" t="str">
        <f t="shared" si="1"/>
        <v/>
      </c>
      <c r="T91" s="33"/>
      <c r="AD91" s="33"/>
      <c r="AN91" s="33"/>
      <c r="AX91" s="33"/>
      <c r="BH91" s="33"/>
      <c r="BR91" s="33"/>
      <c r="CB91" s="33"/>
      <c r="CL91" s="33"/>
      <c r="CV91" s="33"/>
      <c r="DF91" s="33"/>
      <c r="DP91" s="33"/>
      <c r="DZ91" s="33"/>
      <c r="EJ91" s="33"/>
      <c r="ET91" s="33"/>
      <c r="FD91" s="33"/>
      <c r="FN91" s="33"/>
      <c r="FX91" s="33"/>
      <c r="GH91" s="33"/>
      <c r="GR91" s="33"/>
      <c r="HB91" s="33"/>
      <c r="HL91" s="33"/>
      <c r="HV91" s="33"/>
      <c r="IF91" s="33"/>
      <c r="IP91" s="33"/>
      <c r="IZ91" s="33"/>
      <c r="JJ91" s="33"/>
      <c r="JT91" s="33"/>
      <c r="KD91" s="33"/>
      <c r="KN91" s="33"/>
      <c r="KX91" s="33"/>
      <c r="LH91" s="33"/>
      <c r="LR91" s="33"/>
      <c r="MB91" s="33"/>
      <c r="ML91" s="33"/>
      <c r="MV91" s="33"/>
      <c r="NF91" s="33"/>
      <c r="NP91" s="33"/>
      <c r="NZ91" s="33"/>
      <c r="OJ91" s="33"/>
      <c r="OT91" s="33"/>
      <c r="PD91" s="33"/>
      <c r="PN91" s="33"/>
      <c r="PX91" s="33"/>
      <c r="QH91" s="33"/>
      <c r="QR91" s="33"/>
      <c r="RB91" s="33"/>
      <c r="RL91" s="33"/>
      <c r="RV91" s="33"/>
      <c r="SF91" s="33"/>
      <c r="SP91" s="33"/>
      <c r="SZ91" s="33"/>
      <c r="TJ91" s="33"/>
      <c r="TT91" s="33"/>
      <c r="UD91" s="33"/>
      <c r="UN91" s="33"/>
      <c r="UX91" s="33"/>
      <c r="VH91" s="33"/>
      <c r="VR91" s="33"/>
      <c r="WB91" s="33"/>
      <c r="WL91" s="33"/>
      <c r="WV91" s="33"/>
      <c r="XF91" s="33"/>
      <c r="XP91" s="33"/>
      <c r="XZ91" s="33"/>
      <c r="YJ91" s="33"/>
      <c r="YT91" s="33"/>
      <c r="ZD91" s="33"/>
      <c r="ZN91" s="33"/>
      <c r="ZX91" s="33"/>
      <c r="AAH91" s="33"/>
      <c r="AAR91" s="33"/>
      <c r="ABB91" s="33"/>
      <c r="ABL91" s="33"/>
      <c r="ABV91" s="33"/>
      <c r="ACF91" s="33"/>
      <c r="ACP91" s="33"/>
      <c r="ACZ91" s="33"/>
      <c r="ADJ91" s="33"/>
      <c r="ADT91" s="33"/>
      <c r="AED91" s="33"/>
      <c r="AEN91" s="33"/>
      <c r="AEX91" s="33"/>
      <c r="AFH91" s="33"/>
      <c r="AFR91" s="33"/>
      <c r="AGB91" s="33"/>
      <c r="AGL91" s="33"/>
      <c r="AGV91" s="33"/>
      <c r="AHF91" s="33"/>
      <c r="AHP91" s="33"/>
      <c r="AHZ91" s="33"/>
      <c r="AIJ91" s="33"/>
      <c r="AIT91" s="33"/>
      <c r="AJD91" s="33"/>
      <c r="AJN91" s="33"/>
      <c r="AJX91" s="33"/>
      <c r="AKH91" s="33"/>
      <c r="AKR91" s="33"/>
      <c r="ALB91" s="33"/>
      <c r="ALL91" s="33"/>
      <c r="ALV91" s="33"/>
      <c r="AMF91" s="33"/>
      <c r="AMP91" s="33"/>
      <c r="AMZ91" s="33"/>
      <c r="ANJ91" s="33"/>
      <c r="ANT91" s="33"/>
      <c r="AOD91" s="33"/>
      <c r="AON91" s="33"/>
      <c r="AOX91" s="33"/>
      <c r="APH91" s="33"/>
      <c r="APR91" s="33"/>
      <c r="AQB91" s="33"/>
      <c r="AQL91" s="33"/>
      <c r="AQV91" s="33"/>
      <c r="ARF91" s="33"/>
      <c r="ARP91" s="33"/>
      <c r="ARZ91" s="33"/>
      <c r="ASJ91" s="33"/>
      <c r="AST91" s="33"/>
      <c r="ATD91" s="33"/>
      <c r="ATN91" s="33"/>
      <c r="ATX91" s="33"/>
      <c r="AUH91" s="33"/>
      <c r="AUR91" s="33"/>
      <c r="AVB91" s="33"/>
      <c r="AVL91" s="33"/>
      <c r="AVV91" s="33"/>
      <c r="AWF91" s="33"/>
      <c r="AWP91" s="33"/>
      <c r="AWZ91" s="33"/>
      <c r="AXJ91" s="33"/>
      <c r="AXT91" s="33"/>
      <c r="AYD91" s="33"/>
      <c r="AYN91" s="33"/>
      <c r="AYX91" s="33"/>
      <c r="AZH91" s="33"/>
      <c r="AZR91" s="33"/>
      <c r="BAB91" s="33"/>
      <c r="BAL91" s="33"/>
      <c r="BAV91" s="33"/>
      <c r="BBF91" s="33"/>
      <c r="BBP91" s="33"/>
      <c r="BBZ91" s="33"/>
      <c r="BCJ91" s="33"/>
      <c r="BCT91" s="33"/>
      <c r="BDD91" s="33"/>
      <c r="BDN91" s="33"/>
      <c r="BDX91" s="33"/>
      <c r="BEH91" s="33"/>
      <c r="BER91" s="33"/>
      <c r="BFB91" s="33"/>
      <c r="BFL91" s="33"/>
      <c r="BFV91" s="33"/>
      <c r="BGF91" s="33"/>
      <c r="BGP91" s="33"/>
      <c r="BGZ91" s="33"/>
      <c r="BHJ91" s="33"/>
      <c r="BHT91" s="33"/>
      <c r="BID91" s="33"/>
      <c r="BIN91" s="33"/>
      <c r="BIX91" s="33"/>
      <c r="BJH91" s="33"/>
      <c r="BJR91" s="33"/>
      <c r="BKB91" s="33"/>
      <c r="BKL91" s="33"/>
      <c r="BKV91" s="33"/>
      <c r="BLF91" s="33"/>
      <c r="BLP91" s="33"/>
      <c r="BLZ91" s="33"/>
      <c r="BMJ91" s="33"/>
      <c r="BMT91" s="33"/>
      <c r="BND91" s="33"/>
      <c r="BNN91" s="33"/>
      <c r="BNX91" s="33"/>
      <c r="BOH91" s="33"/>
      <c r="BOR91" s="33"/>
      <c r="BPB91" s="33"/>
      <c r="BPL91" s="33"/>
      <c r="BPV91" s="33"/>
      <c r="BQF91" s="33"/>
      <c r="BQP91" s="33"/>
      <c r="BQZ91" s="33"/>
      <c r="BRJ91" s="33"/>
      <c r="BRT91" s="33"/>
      <c r="BSD91" s="33"/>
      <c r="BSN91" s="33"/>
      <c r="BSX91" s="33"/>
      <c r="BTH91" s="33"/>
      <c r="BTR91" s="33"/>
      <c r="BUB91" s="33"/>
      <c r="BUL91" s="33"/>
      <c r="BUV91" s="33"/>
      <c r="BVF91" s="33"/>
      <c r="BVP91" s="33"/>
      <c r="BVZ91" s="33"/>
      <c r="BWJ91" s="33"/>
      <c r="BWT91" s="33"/>
      <c r="BXD91" s="33"/>
      <c r="BXN91" s="33"/>
      <c r="BXX91" s="33"/>
      <c r="BYH91" s="33"/>
      <c r="BYR91" s="33"/>
      <c r="BZB91" s="33"/>
      <c r="BZL91" s="33"/>
      <c r="BZV91" s="33"/>
      <c r="CAF91" s="33"/>
      <c r="CAP91" s="33"/>
      <c r="CAZ91" s="33"/>
      <c r="CBJ91" s="33"/>
      <c r="CBT91" s="33"/>
      <c r="CCD91" s="33"/>
      <c r="CCN91" s="33"/>
      <c r="CCX91" s="33"/>
      <c r="CDH91" s="33"/>
      <c r="CDR91" s="33"/>
      <c r="CEB91" s="33"/>
      <c r="CEL91" s="33"/>
      <c r="CEV91" s="33"/>
      <c r="CFF91" s="33"/>
      <c r="CFP91" s="33"/>
      <c r="CFZ91" s="33"/>
      <c r="CGJ91" s="33"/>
      <c r="CGT91" s="33"/>
      <c r="CHD91" s="33"/>
      <c r="CHN91" s="33"/>
      <c r="CHX91" s="33"/>
      <c r="CIH91" s="33"/>
      <c r="CIR91" s="33"/>
      <c r="CJB91" s="33"/>
      <c r="CJL91" s="33"/>
      <c r="CJV91" s="33"/>
      <c r="CKF91" s="33"/>
      <c r="CKP91" s="33"/>
      <c r="CKZ91" s="33"/>
      <c r="CLJ91" s="33"/>
      <c r="CLT91" s="33"/>
      <c r="CMD91" s="33"/>
      <c r="CMN91" s="33"/>
      <c r="CMX91" s="33"/>
      <c r="CNH91" s="33"/>
      <c r="CNR91" s="33"/>
      <c r="COB91" s="33"/>
      <c r="COL91" s="33"/>
      <c r="COV91" s="33"/>
      <c r="CPF91" s="33"/>
      <c r="CPP91" s="33"/>
      <c r="CPZ91" s="33"/>
      <c r="CQJ91" s="33"/>
      <c r="CQT91" s="33"/>
      <c r="CRD91" s="33"/>
      <c r="CRN91" s="33"/>
      <c r="CRX91" s="33"/>
      <c r="CSH91" s="33"/>
      <c r="CSR91" s="33"/>
      <c r="CTB91" s="33"/>
      <c r="CTL91" s="33"/>
      <c r="CTV91" s="33"/>
    </row>
    <row r="92" s="16" customFormat="1" customHeight="1" spans="1:1020 1030:2040 2050:2570">
      <c r="A92" s="57"/>
      <c r="B92" s="52"/>
      <c r="C92" s="52"/>
      <c r="D92" s="52"/>
      <c r="E92" s="52"/>
      <c r="F92" s="58" t="str">
        <f>IFERROR(VLOOKUP(E92,日报!E:G,2,0),"")</f>
        <v/>
      </c>
      <c r="G92" s="52"/>
      <c r="H92" s="53" t="str">
        <f>IFERROR(VLOOKUP(E92,基础数据!$E$4:$H$4,4,0),"")</f>
        <v/>
      </c>
      <c r="I92" s="53" t="str">
        <f>IFERROR(VLOOKUP(E92,基础数据!$E$4:$H$4,3,0),"")</f>
        <v/>
      </c>
      <c r="J92" s="52"/>
      <c r="K92" s="54" t="str">
        <f t="shared" si="1"/>
        <v/>
      </c>
      <c r="T92" s="33"/>
      <c r="AD92" s="33"/>
      <c r="AN92" s="33"/>
      <c r="AX92" s="33"/>
      <c r="BH92" s="33"/>
      <c r="BR92" s="33"/>
      <c r="CB92" s="33"/>
      <c r="CL92" s="33"/>
      <c r="CV92" s="33"/>
      <c r="DF92" s="33"/>
      <c r="DP92" s="33"/>
      <c r="DZ92" s="33"/>
      <c r="EJ92" s="33"/>
      <c r="ET92" s="33"/>
      <c r="FD92" s="33"/>
      <c r="FN92" s="33"/>
      <c r="FX92" s="33"/>
      <c r="GH92" s="33"/>
      <c r="GR92" s="33"/>
      <c r="HB92" s="33"/>
      <c r="HL92" s="33"/>
      <c r="HV92" s="33"/>
      <c r="IF92" s="33"/>
      <c r="IP92" s="33"/>
      <c r="IZ92" s="33"/>
      <c r="JJ92" s="33"/>
      <c r="JT92" s="33"/>
      <c r="KD92" s="33"/>
      <c r="KN92" s="33"/>
      <c r="KX92" s="33"/>
      <c r="LH92" s="33"/>
      <c r="LR92" s="33"/>
      <c r="MB92" s="33"/>
      <c r="ML92" s="33"/>
      <c r="MV92" s="33"/>
      <c r="NF92" s="33"/>
      <c r="NP92" s="33"/>
      <c r="NZ92" s="33"/>
      <c r="OJ92" s="33"/>
      <c r="OT92" s="33"/>
      <c r="PD92" s="33"/>
      <c r="PN92" s="33"/>
      <c r="PX92" s="33"/>
      <c r="QH92" s="33"/>
      <c r="QR92" s="33"/>
      <c r="RB92" s="33"/>
      <c r="RL92" s="33"/>
      <c r="RV92" s="33"/>
      <c r="SF92" s="33"/>
      <c r="SP92" s="33"/>
      <c r="SZ92" s="33"/>
      <c r="TJ92" s="33"/>
      <c r="TT92" s="33"/>
      <c r="UD92" s="33"/>
      <c r="UN92" s="33"/>
      <c r="UX92" s="33"/>
      <c r="VH92" s="33"/>
      <c r="VR92" s="33"/>
      <c r="WB92" s="33"/>
      <c r="WL92" s="33"/>
      <c r="WV92" s="33"/>
      <c r="XF92" s="33"/>
      <c r="XP92" s="33"/>
      <c r="XZ92" s="33"/>
      <c r="YJ92" s="33"/>
      <c r="YT92" s="33"/>
      <c r="ZD92" s="33"/>
      <c r="ZN92" s="33"/>
      <c r="ZX92" s="33"/>
      <c r="AAH92" s="33"/>
      <c r="AAR92" s="33"/>
      <c r="ABB92" s="33"/>
      <c r="ABL92" s="33"/>
      <c r="ABV92" s="33"/>
      <c r="ACF92" s="33"/>
      <c r="ACP92" s="33"/>
      <c r="ACZ92" s="33"/>
      <c r="ADJ92" s="33"/>
      <c r="ADT92" s="33"/>
      <c r="AED92" s="33"/>
      <c r="AEN92" s="33"/>
      <c r="AEX92" s="33"/>
      <c r="AFH92" s="33"/>
      <c r="AFR92" s="33"/>
      <c r="AGB92" s="33"/>
      <c r="AGL92" s="33"/>
      <c r="AGV92" s="33"/>
      <c r="AHF92" s="33"/>
      <c r="AHP92" s="33"/>
      <c r="AHZ92" s="33"/>
      <c r="AIJ92" s="33"/>
      <c r="AIT92" s="33"/>
      <c r="AJD92" s="33"/>
      <c r="AJN92" s="33"/>
      <c r="AJX92" s="33"/>
      <c r="AKH92" s="33"/>
      <c r="AKR92" s="33"/>
      <c r="ALB92" s="33"/>
      <c r="ALL92" s="33"/>
      <c r="ALV92" s="33"/>
      <c r="AMF92" s="33"/>
      <c r="AMP92" s="33"/>
      <c r="AMZ92" s="33"/>
      <c r="ANJ92" s="33"/>
      <c r="ANT92" s="33"/>
      <c r="AOD92" s="33"/>
      <c r="AON92" s="33"/>
      <c r="AOX92" s="33"/>
      <c r="APH92" s="33"/>
      <c r="APR92" s="33"/>
      <c r="AQB92" s="33"/>
      <c r="AQL92" s="33"/>
      <c r="AQV92" s="33"/>
      <c r="ARF92" s="33"/>
      <c r="ARP92" s="33"/>
      <c r="ARZ92" s="33"/>
      <c r="ASJ92" s="33"/>
      <c r="AST92" s="33"/>
      <c r="ATD92" s="33"/>
      <c r="ATN92" s="33"/>
      <c r="ATX92" s="33"/>
      <c r="AUH92" s="33"/>
      <c r="AUR92" s="33"/>
      <c r="AVB92" s="33"/>
      <c r="AVL92" s="33"/>
      <c r="AVV92" s="33"/>
      <c r="AWF92" s="33"/>
      <c r="AWP92" s="33"/>
      <c r="AWZ92" s="33"/>
      <c r="AXJ92" s="33"/>
      <c r="AXT92" s="33"/>
      <c r="AYD92" s="33"/>
      <c r="AYN92" s="33"/>
      <c r="AYX92" s="33"/>
      <c r="AZH92" s="33"/>
      <c r="AZR92" s="33"/>
      <c r="BAB92" s="33"/>
      <c r="BAL92" s="33"/>
      <c r="BAV92" s="33"/>
      <c r="BBF92" s="33"/>
      <c r="BBP92" s="33"/>
      <c r="BBZ92" s="33"/>
      <c r="BCJ92" s="33"/>
      <c r="BCT92" s="33"/>
      <c r="BDD92" s="33"/>
      <c r="BDN92" s="33"/>
      <c r="BDX92" s="33"/>
      <c r="BEH92" s="33"/>
      <c r="BER92" s="33"/>
      <c r="BFB92" s="33"/>
      <c r="BFL92" s="33"/>
      <c r="BFV92" s="33"/>
      <c r="BGF92" s="33"/>
      <c r="BGP92" s="33"/>
      <c r="BGZ92" s="33"/>
      <c r="BHJ92" s="33"/>
      <c r="BHT92" s="33"/>
      <c r="BID92" s="33"/>
      <c r="BIN92" s="33"/>
      <c r="BIX92" s="33"/>
      <c r="BJH92" s="33"/>
      <c r="BJR92" s="33"/>
      <c r="BKB92" s="33"/>
      <c r="BKL92" s="33"/>
      <c r="BKV92" s="33"/>
      <c r="BLF92" s="33"/>
      <c r="BLP92" s="33"/>
      <c r="BLZ92" s="33"/>
      <c r="BMJ92" s="33"/>
      <c r="BMT92" s="33"/>
      <c r="BND92" s="33"/>
      <c r="BNN92" s="33"/>
      <c r="BNX92" s="33"/>
      <c r="BOH92" s="33"/>
      <c r="BOR92" s="33"/>
      <c r="BPB92" s="33"/>
      <c r="BPL92" s="33"/>
      <c r="BPV92" s="33"/>
      <c r="BQF92" s="33"/>
      <c r="BQP92" s="33"/>
      <c r="BQZ92" s="33"/>
      <c r="BRJ92" s="33"/>
      <c r="BRT92" s="33"/>
      <c r="BSD92" s="33"/>
      <c r="BSN92" s="33"/>
      <c r="BSX92" s="33"/>
      <c r="BTH92" s="33"/>
      <c r="BTR92" s="33"/>
      <c r="BUB92" s="33"/>
      <c r="BUL92" s="33"/>
      <c r="BUV92" s="33"/>
      <c r="BVF92" s="33"/>
      <c r="BVP92" s="33"/>
      <c r="BVZ92" s="33"/>
      <c r="BWJ92" s="33"/>
      <c r="BWT92" s="33"/>
      <c r="BXD92" s="33"/>
      <c r="BXN92" s="33"/>
      <c r="BXX92" s="33"/>
      <c r="BYH92" s="33"/>
      <c r="BYR92" s="33"/>
      <c r="BZB92" s="33"/>
      <c r="BZL92" s="33"/>
      <c r="BZV92" s="33"/>
      <c r="CAF92" s="33"/>
      <c r="CAP92" s="33"/>
      <c r="CAZ92" s="33"/>
      <c r="CBJ92" s="33"/>
      <c r="CBT92" s="33"/>
      <c r="CCD92" s="33"/>
      <c r="CCN92" s="33"/>
      <c r="CCX92" s="33"/>
      <c r="CDH92" s="33"/>
      <c r="CDR92" s="33"/>
      <c r="CEB92" s="33"/>
      <c r="CEL92" s="33"/>
      <c r="CEV92" s="33"/>
      <c r="CFF92" s="33"/>
      <c r="CFP92" s="33"/>
      <c r="CFZ92" s="33"/>
      <c r="CGJ92" s="33"/>
      <c r="CGT92" s="33"/>
      <c r="CHD92" s="33"/>
      <c r="CHN92" s="33"/>
      <c r="CHX92" s="33"/>
      <c r="CIH92" s="33"/>
      <c r="CIR92" s="33"/>
      <c r="CJB92" s="33"/>
      <c r="CJL92" s="33"/>
      <c r="CJV92" s="33"/>
      <c r="CKF92" s="33"/>
      <c r="CKP92" s="33"/>
      <c r="CKZ92" s="33"/>
      <c r="CLJ92" s="33"/>
      <c r="CLT92" s="33"/>
      <c r="CMD92" s="33"/>
      <c r="CMN92" s="33"/>
      <c r="CMX92" s="33"/>
      <c r="CNH92" s="33"/>
      <c r="CNR92" s="33"/>
      <c r="COB92" s="33"/>
      <c r="COL92" s="33"/>
      <c r="COV92" s="33"/>
      <c r="CPF92" s="33"/>
      <c r="CPP92" s="33"/>
      <c r="CPZ92" s="33"/>
      <c r="CQJ92" s="33"/>
      <c r="CQT92" s="33"/>
      <c r="CRD92" s="33"/>
      <c r="CRN92" s="33"/>
      <c r="CRX92" s="33"/>
      <c r="CSH92" s="33"/>
      <c r="CSR92" s="33"/>
      <c r="CTB92" s="33"/>
      <c r="CTL92" s="33"/>
      <c r="CTV92" s="33"/>
    </row>
    <row r="93" s="16" customFormat="1" customHeight="1" spans="1:1020 1030:2040 2050:2570">
      <c r="A93" s="57"/>
      <c r="B93" s="52"/>
      <c r="C93" s="52"/>
      <c r="D93" s="52"/>
      <c r="E93" s="52"/>
      <c r="F93" s="58" t="str">
        <f>IFERROR(VLOOKUP(E93,日报!E:G,2,0),"")</f>
        <v/>
      </c>
      <c r="G93" s="52"/>
      <c r="H93" s="53" t="str">
        <f>IFERROR(VLOOKUP(E93,基础数据!$E$4:$H$4,4,0),"")</f>
        <v/>
      </c>
      <c r="I93" s="53" t="str">
        <f>IFERROR(VLOOKUP(E93,基础数据!$E$4:$H$4,3,0),"")</f>
        <v/>
      </c>
      <c r="J93" s="52"/>
      <c r="K93" s="54" t="str">
        <f t="shared" si="1"/>
        <v/>
      </c>
      <c r="T93" s="33"/>
      <c r="AD93" s="33"/>
      <c r="AN93" s="33"/>
      <c r="AX93" s="33"/>
      <c r="BH93" s="33"/>
      <c r="BR93" s="33"/>
      <c r="CB93" s="33"/>
      <c r="CL93" s="33"/>
      <c r="CV93" s="33"/>
      <c r="DF93" s="33"/>
      <c r="DP93" s="33"/>
      <c r="DZ93" s="33"/>
      <c r="EJ93" s="33"/>
      <c r="ET93" s="33"/>
      <c r="FD93" s="33"/>
      <c r="FN93" s="33"/>
      <c r="FX93" s="33"/>
      <c r="GH93" s="33"/>
      <c r="GR93" s="33"/>
      <c r="HB93" s="33"/>
      <c r="HL93" s="33"/>
      <c r="HV93" s="33"/>
      <c r="IF93" s="33"/>
      <c r="IP93" s="33"/>
      <c r="IZ93" s="33"/>
      <c r="JJ93" s="33"/>
      <c r="JT93" s="33"/>
      <c r="KD93" s="33"/>
      <c r="KN93" s="33"/>
      <c r="KX93" s="33"/>
      <c r="LH93" s="33"/>
      <c r="LR93" s="33"/>
      <c r="MB93" s="33"/>
      <c r="ML93" s="33"/>
      <c r="MV93" s="33"/>
      <c r="NF93" s="33"/>
      <c r="NP93" s="33"/>
      <c r="NZ93" s="33"/>
      <c r="OJ93" s="33"/>
      <c r="OT93" s="33"/>
      <c r="PD93" s="33"/>
      <c r="PN93" s="33"/>
      <c r="PX93" s="33"/>
      <c r="QH93" s="33"/>
      <c r="QR93" s="33"/>
      <c r="RB93" s="33"/>
      <c r="RL93" s="33"/>
      <c r="RV93" s="33"/>
      <c r="SF93" s="33"/>
      <c r="SP93" s="33"/>
      <c r="SZ93" s="33"/>
      <c r="TJ93" s="33"/>
      <c r="TT93" s="33"/>
      <c r="UD93" s="33"/>
      <c r="UN93" s="33"/>
      <c r="UX93" s="33"/>
      <c r="VH93" s="33"/>
      <c r="VR93" s="33"/>
      <c r="WB93" s="33"/>
      <c r="WL93" s="33"/>
      <c r="WV93" s="33"/>
      <c r="XF93" s="33"/>
      <c r="XP93" s="33"/>
      <c r="XZ93" s="33"/>
      <c r="YJ93" s="33"/>
      <c r="YT93" s="33"/>
      <c r="ZD93" s="33"/>
      <c r="ZN93" s="33"/>
      <c r="ZX93" s="33"/>
      <c r="AAH93" s="33"/>
      <c r="AAR93" s="33"/>
      <c r="ABB93" s="33"/>
      <c r="ABL93" s="33"/>
      <c r="ABV93" s="33"/>
      <c r="ACF93" s="33"/>
      <c r="ACP93" s="33"/>
      <c r="ACZ93" s="33"/>
      <c r="ADJ93" s="33"/>
      <c r="ADT93" s="33"/>
      <c r="AED93" s="33"/>
      <c r="AEN93" s="33"/>
      <c r="AEX93" s="33"/>
      <c r="AFH93" s="33"/>
      <c r="AFR93" s="33"/>
      <c r="AGB93" s="33"/>
      <c r="AGL93" s="33"/>
      <c r="AGV93" s="33"/>
      <c r="AHF93" s="33"/>
      <c r="AHP93" s="33"/>
      <c r="AHZ93" s="33"/>
      <c r="AIJ93" s="33"/>
      <c r="AIT93" s="33"/>
      <c r="AJD93" s="33"/>
      <c r="AJN93" s="33"/>
      <c r="AJX93" s="33"/>
      <c r="AKH93" s="33"/>
      <c r="AKR93" s="33"/>
      <c r="ALB93" s="33"/>
      <c r="ALL93" s="33"/>
      <c r="ALV93" s="33"/>
      <c r="AMF93" s="33"/>
      <c r="AMP93" s="33"/>
      <c r="AMZ93" s="33"/>
      <c r="ANJ93" s="33"/>
      <c r="ANT93" s="33"/>
      <c r="AOD93" s="33"/>
      <c r="AON93" s="33"/>
      <c r="AOX93" s="33"/>
      <c r="APH93" s="33"/>
      <c r="APR93" s="33"/>
      <c r="AQB93" s="33"/>
      <c r="AQL93" s="33"/>
      <c r="AQV93" s="33"/>
      <c r="ARF93" s="33"/>
      <c r="ARP93" s="33"/>
      <c r="ARZ93" s="33"/>
      <c r="ASJ93" s="33"/>
      <c r="AST93" s="33"/>
      <c r="ATD93" s="33"/>
      <c r="ATN93" s="33"/>
      <c r="ATX93" s="33"/>
      <c r="AUH93" s="33"/>
      <c r="AUR93" s="33"/>
      <c r="AVB93" s="33"/>
      <c r="AVL93" s="33"/>
      <c r="AVV93" s="33"/>
      <c r="AWF93" s="33"/>
      <c r="AWP93" s="33"/>
      <c r="AWZ93" s="33"/>
      <c r="AXJ93" s="33"/>
      <c r="AXT93" s="33"/>
      <c r="AYD93" s="33"/>
      <c r="AYN93" s="33"/>
      <c r="AYX93" s="33"/>
      <c r="AZH93" s="33"/>
      <c r="AZR93" s="33"/>
      <c r="BAB93" s="33"/>
      <c r="BAL93" s="33"/>
      <c r="BAV93" s="33"/>
      <c r="BBF93" s="33"/>
      <c r="BBP93" s="33"/>
      <c r="BBZ93" s="33"/>
      <c r="BCJ93" s="33"/>
      <c r="BCT93" s="33"/>
      <c r="BDD93" s="33"/>
      <c r="BDN93" s="33"/>
      <c r="BDX93" s="33"/>
      <c r="BEH93" s="33"/>
      <c r="BER93" s="33"/>
      <c r="BFB93" s="33"/>
      <c r="BFL93" s="33"/>
      <c r="BFV93" s="33"/>
      <c r="BGF93" s="33"/>
      <c r="BGP93" s="33"/>
      <c r="BGZ93" s="33"/>
      <c r="BHJ93" s="33"/>
      <c r="BHT93" s="33"/>
      <c r="BID93" s="33"/>
      <c r="BIN93" s="33"/>
      <c r="BIX93" s="33"/>
      <c r="BJH93" s="33"/>
      <c r="BJR93" s="33"/>
      <c r="BKB93" s="33"/>
      <c r="BKL93" s="33"/>
      <c r="BKV93" s="33"/>
      <c r="BLF93" s="33"/>
      <c r="BLP93" s="33"/>
      <c r="BLZ93" s="33"/>
      <c r="BMJ93" s="33"/>
      <c r="BMT93" s="33"/>
      <c r="BND93" s="33"/>
      <c r="BNN93" s="33"/>
      <c r="BNX93" s="33"/>
      <c r="BOH93" s="33"/>
      <c r="BOR93" s="33"/>
      <c r="BPB93" s="33"/>
      <c r="BPL93" s="33"/>
      <c r="BPV93" s="33"/>
      <c r="BQF93" s="33"/>
      <c r="BQP93" s="33"/>
      <c r="BQZ93" s="33"/>
      <c r="BRJ93" s="33"/>
      <c r="BRT93" s="33"/>
      <c r="BSD93" s="33"/>
      <c r="BSN93" s="33"/>
      <c r="BSX93" s="33"/>
      <c r="BTH93" s="33"/>
      <c r="BTR93" s="33"/>
      <c r="BUB93" s="33"/>
      <c r="BUL93" s="33"/>
      <c r="BUV93" s="33"/>
      <c r="BVF93" s="33"/>
      <c r="BVP93" s="33"/>
      <c r="BVZ93" s="33"/>
      <c r="BWJ93" s="33"/>
      <c r="BWT93" s="33"/>
      <c r="BXD93" s="33"/>
      <c r="BXN93" s="33"/>
      <c r="BXX93" s="33"/>
      <c r="BYH93" s="33"/>
      <c r="BYR93" s="33"/>
      <c r="BZB93" s="33"/>
      <c r="BZL93" s="33"/>
      <c r="BZV93" s="33"/>
      <c r="CAF93" s="33"/>
      <c r="CAP93" s="33"/>
      <c r="CAZ93" s="33"/>
      <c r="CBJ93" s="33"/>
      <c r="CBT93" s="33"/>
      <c r="CCD93" s="33"/>
      <c r="CCN93" s="33"/>
      <c r="CCX93" s="33"/>
      <c r="CDH93" s="33"/>
      <c r="CDR93" s="33"/>
      <c r="CEB93" s="33"/>
      <c r="CEL93" s="33"/>
      <c r="CEV93" s="33"/>
      <c r="CFF93" s="33"/>
      <c r="CFP93" s="33"/>
      <c r="CFZ93" s="33"/>
      <c r="CGJ93" s="33"/>
      <c r="CGT93" s="33"/>
      <c r="CHD93" s="33"/>
      <c r="CHN93" s="33"/>
      <c r="CHX93" s="33"/>
      <c r="CIH93" s="33"/>
      <c r="CIR93" s="33"/>
      <c r="CJB93" s="33"/>
      <c r="CJL93" s="33"/>
      <c r="CJV93" s="33"/>
      <c r="CKF93" s="33"/>
      <c r="CKP93" s="33"/>
      <c r="CKZ93" s="33"/>
      <c r="CLJ93" s="33"/>
      <c r="CLT93" s="33"/>
      <c r="CMD93" s="33"/>
      <c r="CMN93" s="33"/>
      <c r="CMX93" s="33"/>
      <c r="CNH93" s="33"/>
      <c r="CNR93" s="33"/>
      <c r="COB93" s="33"/>
      <c r="COL93" s="33"/>
      <c r="COV93" s="33"/>
      <c r="CPF93" s="33"/>
      <c r="CPP93" s="33"/>
      <c r="CPZ93" s="33"/>
      <c r="CQJ93" s="33"/>
      <c r="CQT93" s="33"/>
      <c r="CRD93" s="33"/>
      <c r="CRN93" s="33"/>
      <c r="CRX93" s="33"/>
      <c r="CSH93" s="33"/>
      <c r="CSR93" s="33"/>
      <c r="CTB93" s="33"/>
      <c r="CTL93" s="33"/>
      <c r="CTV93" s="33"/>
    </row>
    <row r="94" s="16" customFormat="1" customHeight="1" spans="1:1020 1030:2040 2050:2570">
      <c r="A94" s="57"/>
      <c r="B94" s="52"/>
      <c r="C94" s="52"/>
      <c r="D94" s="52"/>
      <c r="E94" s="52"/>
      <c r="F94" s="58" t="str">
        <f>IFERROR(VLOOKUP(E94,日报!E:G,2,0),"")</f>
        <v/>
      </c>
      <c r="G94" s="52"/>
      <c r="H94" s="53" t="str">
        <f>IFERROR(VLOOKUP(E94,基础数据!$E$4:$H$4,4,0),"")</f>
        <v/>
      </c>
      <c r="I94" s="53" t="str">
        <f>IFERROR(VLOOKUP(E94,基础数据!$E$4:$H$4,3,0),"")</f>
        <v/>
      </c>
      <c r="J94" s="52"/>
      <c r="K94" s="54" t="str">
        <f t="shared" si="1"/>
        <v/>
      </c>
      <c r="T94" s="33"/>
      <c r="AD94" s="33"/>
      <c r="AN94" s="33"/>
      <c r="AX94" s="33"/>
      <c r="BH94" s="33"/>
      <c r="BR94" s="33"/>
      <c r="CB94" s="33"/>
      <c r="CL94" s="33"/>
      <c r="CV94" s="33"/>
      <c r="DF94" s="33"/>
      <c r="DP94" s="33"/>
      <c r="DZ94" s="33"/>
      <c r="EJ94" s="33"/>
      <c r="ET94" s="33"/>
      <c r="FD94" s="33"/>
      <c r="FN94" s="33"/>
      <c r="FX94" s="33"/>
      <c r="GH94" s="33"/>
      <c r="GR94" s="33"/>
      <c r="HB94" s="33"/>
      <c r="HL94" s="33"/>
      <c r="HV94" s="33"/>
      <c r="IF94" s="33"/>
      <c r="IP94" s="33"/>
      <c r="IZ94" s="33"/>
      <c r="JJ94" s="33"/>
      <c r="JT94" s="33"/>
      <c r="KD94" s="33"/>
      <c r="KN94" s="33"/>
      <c r="KX94" s="33"/>
      <c r="LH94" s="33"/>
      <c r="LR94" s="33"/>
      <c r="MB94" s="33"/>
      <c r="ML94" s="33"/>
      <c r="MV94" s="33"/>
      <c r="NF94" s="33"/>
      <c r="NP94" s="33"/>
      <c r="NZ94" s="33"/>
      <c r="OJ94" s="33"/>
      <c r="OT94" s="33"/>
      <c r="PD94" s="33"/>
      <c r="PN94" s="33"/>
      <c r="PX94" s="33"/>
      <c r="QH94" s="33"/>
      <c r="QR94" s="33"/>
      <c r="RB94" s="33"/>
      <c r="RL94" s="33"/>
      <c r="RV94" s="33"/>
      <c r="SF94" s="33"/>
      <c r="SP94" s="33"/>
      <c r="SZ94" s="33"/>
      <c r="TJ94" s="33"/>
      <c r="TT94" s="33"/>
      <c r="UD94" s="33"/>
      <c r="UN94" s="33"/>
      <c r="UX94" s="33"/>
      <c r="VH94" s="33"/>
      <c r="VR94" s="33"/>
      <c r="WB94" s="33"/>
      <c r="WL94" s="33"/>
      <c r="WV94" s="33"/>
      <c r="XF94" s="33"/>
      <c r="XP94" s="33"/>
      <c r="XZ94" s="33"/>
      <c r="YJ94" s="33"/>
      <c r="YT94" s="33"/>
      <c r="ZD94" s="33"/>
      <c r="ZN94" s="33"/>
      <c r="ZX94" s="33"/>
      <c r="AAH94" s="33"/>
      <c r="AAR94" s="33"/>
      <c r="ABB94" s="33"/>
      <c r="ABL94" s="33"/>
      <c r="ABV94" s="33"/>
      <c r="ACF94" s="33"/>
      <c r="ACP94" s="33"/>
      <c r="ACZ94" s="33"/>
      <c r="ADJ94" s="33"/>
      <c r="ADT94" s="33"/>
      <c r="AED94" s="33"/>
      <c r="AEN94" s="33"/>
      <c r="AEX94" s="33"/>
      <c r="AFH94" s="33"/>
      <c r="AFR94" s="33"/>
      <c r="AGB94" s="33"/>
      <c r="AGL94" s="33"/>
      <c r="AGV94" s="33"/>
      <c r="AHF94" s="33"/>
      <c r="AHP94" s="33"/>
      <c r="AHZ94" s="33"/>
      <c r="AIJ94" s="33"/>
      <c r="AIT94" s="33"/>
      <c r="AJD94" s="33"/>
      <c r="AJN94" s="33"/>
      <c r="AJX94" s="33"/>
      <c r="AKH94" s="33"/>
      <c r="AKR94" s="33"/>
      <c r="ALB94" s="33"/>
      <c r="ALL94" s="33"/>
      <c r="ALV94" s="33"/>
      <c r="AMF94" s="33"/>
      <c r="AMP94" s="33"/>
      <c r="AMZ94" s="33"/>
      <c r="ANJ94" s="33"/>
      <c r="ANT94" s="33"/>
      <c r="AOD94" s="33"/>
      <c r="AON94" s="33"/>
      <c r="AOX94" s="33"/>
      <c r="APH94" s="33"/>
      <c r="APR94" s="33"/>
      <c r="AQB94" s="33"/>
      <c r="AQL94" s="33"/>
      <c r="AQV94" s="33"/>
      <c r="ARF94" s="33"/>
      <c r="ARP94" s="33"/>
      <c r="ARZ94" s="33"/>
      <c r="ASJ94" s="33"/>
      <c r="AST94" s="33"/>
      <c r="ATD94" s="33"/>
      <c r="ATN94" s="33"/>
      <c r="ATX94" s="33"/>
      <c r="AUH94" s="33"/>
      <c r="AUR94" s="33"/>
      <c r="AVB94" s="33"/>
      <c r="AVL94" s="33"/>
      <c r="AVV94" s="33"/>
      <c r="AWF94" s="33"/>
      <c r="AWP94" s="33"/>
      <c r="AWZ94" s="33"/>
      <c r="AXJ94" s="33"/>
      <c r="AXT94" s="33"/>
      <c r="AYD94" s="33"/>
      <c r="AYN94" s="33"/>
      <c r="AYX94" s="33"/>
      <c r="AZH94" s="33"/>
      <c r="AZR94" s="33"/>
      <c r="BAB94" s="33"/>
      <c r="BAL94" s="33"/>
      <c r="BAV94" s="33"/>
      <c r="BBF94" s="33"/>
      <c r="BBP94" s="33"/>
      <c r="BBZ94" s="33"/>
      <c r="BCJ94" s="33"/>
      <c r="BCT94" s="33"/>
      <c r="BDD94" s="33"/>
      <c r="BDN94" s="33"/>
      <c r="BDX94" s="33"/>
      <c r="BEH94" s="33"/>
      <c r="BER94" s="33"/>
      <c r="BFB94" s="33"/>
      <c r="BFL94" s="33"/>
      <c r="BFV94" s="33"/>
      <c r="BGF94" s="33"/>
      <c r="BGP94" s="33"/>
      <c r="BGZ94" s="33"/>
      <c r="BHJ94" s="33"/>
      <c r="BHT94" s="33"/>
      <c r="BID94" s="33"/>
      <c r="BIN94" s="33"/>
      <c r="BIX94" s="33"/>
      <c r="BJH94" s="33"/>
      <c r="BJR94" s="33"/>
      <c r="BKB94" s="33"/>
      <c r="BKL94" s="33"/>
      <c r="BKV94" s="33"/>
      <c r="BLF94" s="33"/>
      <c r="BLP94" s="33"/>
      <c r="BLZ94" s="33"/>
      <c r="BMJ94" s="33"/>
      <c r="BMT94" s="33"/>
      <c r="BND94" s="33"/>
      <c r="BNN94" s="33"/>
      <c r="BNX94" s="33"/>
      <c r="BOH94" s="33"/>
      <c r="BOR94" s="33"/>
      <c r="BPB94" s="33"/>
      <c r="BPL94" s="33"/>
      <c r="BPV94" s="33"/>
      <c r="BQF94" s="33"/>
      <c r="BQP94" s="33"/>
      <c r="BQZ94" s="33"/>
      <c r="BRJ94" s="33"/>
      <c r="BRT94" s="33"/>
      <c r="BSD94" s="33"/>
      <c r="BSN94" s="33"/>
      <c r="BSX94" s="33"/>
      <c r="BTH94" s="33"/>
      <c r="BTR94" s="33"/>
      <c r="BUB94" s="33"/>
      <c r="BUL94" s="33"/>
      <c r="BUV94" s="33"/>
      <c r="BVF94" s="33"/>
      <c r="BVP94" s="33"/>
      <c r="BVZ94" s="33"/>
      <c r="BWJ94" s="33"/>
      <c r="BWT94" s="33"/>
      <c r="BXD94" s="33"/>
      <c r="BXN94" s="33"/>
      <c r="BXX94" s="33"/>
      <c r="BYH94" s="33"/>
      <c r="BYR94" s="33"/>
      <c r="BZB94" s="33"/>
      <c r="BZL94" s="33"/>
      <c r="BZV94" s="33"/>
      <c r="CAF94" s="33"/>
      <c r="CAP94" s="33"/>
      <c r="CAZ94" s="33"/>
      <c r="CBJ94" s="33"/>
      <c r="CBT94" s="33"/>
      <c r="CCD94" s="33"/>
      <c r="CCN94" s="33"/>
      <c r="CCX94" s="33"/>
      <c r="CDH94" s="33"/>
      <c r="CDR94" s="33"/>
      <c r="CEB94" s="33"/>
      <c r="CEL94" s="33"/>
      <c r="CEV94" s="33"/>
      <c r="CFF94" s="33"/>
      <c r="CFP94" s="33"/>
      <c r="CFZ94" s="33"/>
      <c r="CGJ94" s="33"/>
      <c r="CGT94" s="33"/>
      <c r="CHD94" s="33"/>
      <c r="CHN94" s="33"/>
      <c r="CHX94" s="33"/>
      <c r="CIH94" s="33"/>
      <c r="CIR94" s="33"/>
      <c r="CJB94" s="33"/>
      <c r="CJL94" s="33"/>
      <c r="CJV94" s="33"/>
      <c r="CKF94" s="33"/>
      <c r="CKP94" s="33"/>
      <c r="CKZ94" s="33"/>
      <c r="CLJ94" s="33"/>
      <c r="CLT94" s="33"/>
      <c r="CMD94" s="33"/>
      <c r="CMN94" s="33"/>
      <c r="CMX94" s="33"/>
      <c r="CNH94" s="33"/>
      <c r="CNR94" s="33"/>
      <c r="COB94" s="33"/>
      <c r="COL94" s="33"/>
      <c r="COV94" s="33"/>
      <c r="CPF94" s="33"/>
      <c r="CPP94" s="33"/>
      <c r="CPZ94" s="33"/>
      <c r="CQJ94" s="33"/>
      <c r="CQT94" s="33"/>
      <c r="CRD94" s="33"/>
      <c r="CRN94" s="33"/>
      <c r="CRX94" s="33"/>
      <c r="CSH94" s="33"/>
      <c r="CSR94" s="33"/>
      <c r="CTB94" s="33"/>
      <c r="CTL94" s="33"/>
      <c r="CTV94" s="33"/>
    </row>
    <row r="95" s="16" customFormat="1" customHeight="1" spans="1:1020 1030:2040 2050:2570">
      <c r="A95" s="57"/>
      <c r="B95" s="52"/>
      <c r="C95" s="52"/>
      <c r="D95" s="52"/>
      <c r="E95" s="52"/>
      <c r="F95" s="58" t="str">
        <f>IFERROR(VLOOKUP(E95,日报!E:G,2,0),"")</f>
        <v/>
      </c>
      <c r="G95" s="52"/>
      <c r="H95" s="53" t="str">
        <f>IFERROR(VLOOKUP(E95,基础数据!$E$4:$H$4,4,0),"")</f>
        <v/>
      </c>
      <c r="I95" s="53" t="str">
        <f>IFERROR(VLOOKUP(E95,基础数据!$E$4:$H$4,3,0),"")</f>
        <v/>
      </c>
      <c r="J95" s="52"/>
      <c r="K95" s="54" t="str">
        <f t="shared" si="1"/>
        <v/>
      </c>
      <c r="T95" s="33"/>
      <c r="AD95" s="33"/>
      <c r="AN95" s="33"/>
      <c r="AX95" s="33"/>
      <c r="BH95" s="33"/>
      <c r="BR95" s="33"/>
      <c r="CB95" s="33"/>
      <c r="CL95" s="33"/>
      <c r="CV95" s="33"/>
      <c r="DF95" s="33"/>
      <c r="DP95" s="33"/>
      <c r="DZ95" s="33"/>
      <c r="EJ95" s="33"/>
      <c r="ET95" s="33"/>
      <c r="FD95" s="33"/>
      <c r="FN95" s="33"/>
      <c r="FX95" s="33"/>
      <c r="GH95" s="33"/>
      <c r="GR95" s="33"/>
      <c r="HB95" s="33"/>
      <c r="HL95" s="33"/>
      <c r="HV95" s="33"/>
      <c r="IF95" s="33"/>
      <c r="IP95" s="33"/>
      <c r="IZ95" s="33"/>
      <c r="JJ95" s="33"/>
      <c r="JT95" s="33"/>
      <c r="KD95" s="33"/>
      <c r="KN95" s="33"/>
      <c r="KX95" s="33"/>
      <c r="LH95" s="33"/>
      <c r="LR95" s="33"/>
      <c r="MB95" s="33"/>
      <c r="ML95" s="33"/>
      <c r="MV95" s="33"/>
      <c r="NF95" s="33"/>
      <c r="NP95" s="33"/>
      <c r="NZ95" s="33"/>
      <c r="OJ95" s="33"/>
      <c r="OT95" s="33"/>
      <c r="PD95" s="33"/>
      <c r="PN95" s="33"/>
      <c r="PX95" s="33"/>
      <c r="QH95" s="33"/>
      <c r="QR95" s="33"/>
      <c r="RB95" s="33"/>
      <c r="RL95" s="33"/>
      <c r="RV95" s="33"/>
      <c r="SF95" s="33"/>
      <c r="SP95" s="33"/>
      <c r="SZ95" s="33"/>
      <c r="TJ95" s="33"/>
      <c r="TT95" s="33"/>
      <c r="UD95" s="33"/>
      <c r="UN95" s="33"/>
      <c r="UX95" s="33"/>
      <c r="VH95" s="33"/>
      <c r="VR95" s="33"/>
      <c r="WB95" s="33"/>
      <c r="WL95" s="33"/>
      <c r="WV95" s="33"/>
      <c r="XF95" s="33"/>
      <c r="XP95" s="33"/>
      <c r="XZ95" s="33"/>
      <c r="YJ95" s="33"/>
      <c r="YT95" s="33"/>
      <c r="ZD95" s="33"/>
      <c r="ZN95" s="33"/>
      <c r="ZX95" s="33"/>
      <c r="AAH95" s="33"/>
      <c r="AAR95" s="33"/>
      <c r="ABB95" s="33"/>
      <c r="ABL95" s="33"/>
      <c r="ABV95" s="33"/>
      <c r="ACF95" s="33"/>
      <c r="ACP95" s="33"/>
      <c r="ACZ95" s="33"/>
      <c r="ADJ95" s="33"/>
      <c r="ADT95" s="33"/>
      <c r="AED95" s="33"/>
      <c r="AEN95" s="33"/>
      <c r="AEX95" s="33"/>
      <c r="AFH95" s="33"/>
      <c r="AFR95" s="33"/>
      <c r="AGB95" s="33"/>
      <c r="AGL95" s="33"/>
      <c r="AGV95" s="33"/>
      <c r="AHF95" s="33"/>
      <c r="AHP95" s="33"/>
      <c r="AHZ95" s="33"/>
      <c r="AIJ95" s="33"/>
      <c r="AIT95" s="33"/>
      <c r="AJD95" s="33"/>
      <c r="AJN95" s="33"/>
      <c r="AJX95" s="33"/>
      <c r="AKH95" s="33"/>
      <c r="AKR95" s="33"/>
      <c r="ALB95" s="33"/>
      <c r="ALL95" s="33"/>
      <c r="ALV95" s="33"/>
      <c r="AMF95" s="33"/>
      <c r="AMP95" s="33"/>
      <c r="AMZ95" s="33"/>
      <c r="ANJ95" s="33"/>
      <c r="ANT95" s="33"/>
      <c r="AOD95" s="33"/>
      <c r="AON95" s="33"/>
      <c r="AOX95" s="33"/>
      <c r="APH95" s="33"/>
      <c r="APR95" s="33"/>
      <c r="AQB95" s="33"/>
      <c r="AQL95" s="33"/>
      <c r="AQV95" s="33"/>
      <c r="ARF95" s="33"/>
      <c r="ARP95" s="33"/>
      <c r="ARZ95" s="33"/>
      <c r="ASJ95" s="33"/>
      <c r="AST95" s="33"/>
      <c r="ATD95" s="33"/>
      <c r="ATN95" s="33"/>
      <c r="ATX95" s="33"/>
      <c r="AUH95" s="33"/>
      <c r="AUR95" s="33"/>
      <c r="AVB95" s="33"/>
      <c r="AVL95" s="33"/>
      <c r="AVV95" s="33"/>
      <c r="AWF95" s="33"/>
      <c r="AWP95" s="33"/>
      <c r="AWZ95" s="33"/>
      <c r="AXJ95" s="33"/>
      <c r="AXT95" s="33"/>
      <c r="AYD95" s="33"/>
      <c r="AYN95" s="33"/>
      <c r="AYX95" s="33"/>
      <c r="AZH95" s="33"/>
      <c r="AZR95" s="33"/>
      <c r="BAB95" s="33"/>
      <c r="BAL95" s="33"/>
      <c r="BAV95" s="33"/>
      <c r="BBF95" s="33"/>
      <c r="BBP95" s="33"/>
      <c r="BBZ95" s="33"/>
      <c r="BCJ95" s="33"/>
      <c r="BCT95" s="33"/>
      <c r="BDD95" s="33"/>
      <c r="BDN95" s="33"/>
      <c r="BDX95" s="33"/>
      <c r="BEH95" s="33"/>
      <c r="BER95" s="33"/>
      <c r="BFB95" s="33"/>
      <c r="BFL95" s="33"/>
      <c r="BFV95" s="33"/>
      <c r="BGF95" s="33"/>
      <c r="BGP95" s="33"/>
      <c r="BGZ95" s="33"/>
      <c r="BHJ95" s="33"/>
      <c r="BHT95" s="33"/>
      <c r="BID95" s="33"/>
      <c r="BIN95" s="33"/>
      <c r="BIX95" s="33"/>
      <c r="BJH95" s="33"/>
      <c r="BJR95" s="33"/>
      <c r="BKB95" s="33"/>
      <c r="BKL95" s="33"/>
      <c r="BKV95" s="33"/>
      <c r="BLF95" s="33"/>
      <c r="BLP95" s="33"/>
      <c r="BLZ95" s="33"/>
      <c r="BMJ95" s="33"/>
      <c r="BMT95" s="33"/>
      <c r="BND95" s="33"/>
      <c r="BNN95" s="33"/>
      <c r="BNX95" s="33"/>
      <c r="BOH95" s="33"/>
      <c r="BOR95" s="33"/>
      <c r="BPB95" s="33"/>
      <c r="BPL95" s="33"/>
      <c r="BPV95" s="33"/>
      <c r="BQF95" s="33"/>
      <c r="BQP95" s="33"/>
      <c r="BQZ95" s="33"/>
      <c r="BRJ95" s="33"/>
      <c r="BRT95" s="33"/>
      <c r="BSD95" s="33"/>
      <c r="BSN95" s="33"/>
      <c r="BSX95" s="33"/>
      <c r="BTH95" s="33"/>
      <c r="BTR95" s="33"/>
      <c r="BUB95" s="33"/>
      <c r="BUL95" s="33"/>
      <c r="BUV95" s="33"/>
      <c r="BVF95" s="33"/>
      <c r="BVP95" s="33"/>
      <c r="BVZ95" s="33"/>
      <c r="BWJ95" s="33"/>
      <c r="BWT95" s="33"/>
      <c r="BXD95" s="33"/>
      <c r="BXN95" s="33"/>
      <c r="BXX95" s="33"/>
      <c r="BYH95" s="33"/>
      <c r="BYR95" s="33"/>
      <c r="BZB95" s="33"/>
      <c r="BZL95" s="33"/>
      <c r="BZV95" s="33"/>
      <c r="CAF95" s="33"/>
      <c r="CAP95" s="33"/>
      <c r="CAZ95" s="33"/>
      <c r="CBJ95" s="33"/>
      <c r="CBT95" s="33"/>
      <c r="CCD95" s="33"/>
      <c r="CCN95" s="33"/>
      <c r="CCX95" s="33"/>
      <c r="CDH95" s="33"/>
      <c r="CDR95" s="33"/>
      <c r="CEB95" s="33"/>
      <c r="CEL95" s="33"/>
      <c r="CEV95" s="33"/>
      <c r="CFF95" s="33"/>
      <c r="CFP95" s="33"/>
      <c r="CFZ95" s="33"/>
      <c r="CGJ95" s="33"/>
      <c r="CGT95" s="33"/>
      <c r="CHD95" s="33"/>
      <c r="CHN95" s="33"/>
      <c r="CHX95" s="33"/>
      <c r="CIH95" s="33"/>
      <c r="CIR95" s="33"/>
      <c r="CJB95" s="33"/>
      <c r="CJL95" s="33"/>
      <c r="CJV95" s="33"/>
      <c r="CKF95" s="33"/>
      <c r="CKP95" s="33"/>
      <c r="CKZ95" s="33"/>
      <c r="CLJ95" s="33"/>
      <c r="CLT95" s="33"/>
      <c r="CMD95" s="33"/>
      <c r="CMN95" s="33"/>
      <c r="CMX95" s="33"/>
      <c r="CNH95" s="33"/>
      <c r="CNR95" s="33"/>
      <c r="COB95" s="33"/>
      <c r="COL95" s="33"/>
      <c r="COV95" s="33"/>
      <c r="CPF95" s="33"/>
      <c r="CPP95" s="33"/>
      <c r="CPZ95" s="33"/>
      <c r="CQJ95" s="33"/>
      <c r="CQT95" s="33"/>
      <c r="CRD95" s="33"/>
      <c r="CRN95" s="33"/>
      <c r="CRX95" s="33"/>
      <c r="CSH95" s="33"/>
      <c r="CSR95" s="33"/>
      <c r="CTB95" s="33"/>
      <c r="CTL95" s="33"/>
      <c r="CTV95" s="33"/>
    </row>
    <row r="96" s="16" customFormat="1" customHeight="1" spans="1:1020 1030:2040 2050:2570">
      <c r="A96" s="57"/>
      <c r="B96" s="52"/>
      <c r="C96" s="52"/>
      <c r="D96" s="52"/>
      <c r="E96" s="52"/>
      <c r="F96" s="58" t="str">
        <f>IFERROR(VLOOKUP(E96,日报!E:G,2,0),"")</f>
        <v/>
      </c>
      <c r="G96" s="52"/>
      <c r="H96" s="53" t="str">
        <f>IFERROR(VLOOKUP(E96,基础数据!$E$4:$H$4,4,0),"")</f>
        <v/>
      </c>
      <c r="I96" s="53" t="str">
        <f>IFERROR(VLOOKUP(E96,基础数据!$E$4:$H$4,3,0),"")</f>
        <v/>
      </c>
      <c r="J96" s="52"/>
      <c r="K96" s="54" t="str">
        <f t="shared" si="1"/>
        <v/>
      </c>
      <c r="T96" s="33"/>
      <c r="AD96" s="33"/>
      <c r="AN96" s="33"/>
      <c r="AX96" s="33"/>
      <c r="BH96" s="33"/>
      <c r="BR96" s="33"/>
      <c r="CB96" s="33"/>
      <c r="CL96" s="33"/>
      <c r="CV96" s="33"/>
      <c r="DF96" s="33"/>
      <c r="DP96" s="33"/>
      <c r="DZ96" s="33"/>
      <c r="EJ96" s="33"/>
      <c r="ET96" s="33"/>
      <c r="FD96" s="33"/>
      <c r="FN96" s="33"/>
      <c r="FX96" s="33"/>
      <c r="GH96" s="33"/>
      <c r="GR96" s="33"/>
      <c r="HB96" s="33"/>
      <c r="HL96" s="33"/>
      <c r="HV96" s="33"/>
      <c r="IF96" s="33"/>
      <c r="IP96" s="33"/>
      <c r="IZ96" s="33"/>
      <c r="JJ96" s="33"/>
      <c r="JT96" s="33"/>
      <c r="KD96" s="33"/>
      <c r="KN96" s="33"/>
      <c r="KX96" s="33"/>
      <c r="LH96" s="33"/>
      <c r="LR96" s="33"/>
      <c r="MB96" s="33"/>
      <c r="ML96" s="33"/>
      <c r="MV96" s="33"/>
      <c r="NF96" s="33"/>
      <c r="NP96" s="33"/>
      <c r="NZ96" s="33"/>
      <c r="OJ96" s="33"/>
      <c r="OT96" s="33"/>
      <c r="PD96" s="33"/>
      <c r="PN96" s="33"/>
      <c r="PX96" s="33"/>
      <c r="QH96" s="33"/>
      <c r="QR96" s="33"/>
      <c r="RB96" s="33"/>
      <c r="RL96" s="33"/>
      <c r="RV96" s="33"/>
      <c r="SF96" s="33"/>
      <c r="SP96" s="33"/>
      <c r="SZ96" s="33"/>
      <c r="TJ96" s="33"/>
      <c r="TT96" s="33"/>
      <c r="UD96" s="33"/>
      <c r="UN96" s="33"/>
      <c r="UX96" s="33"/>
      <c r="VH96" s="33"/>
      <c r="VR96" s="33"/>
      <c r="WB96" s="33"/>
      <c r="WL96" s="33"/>
      <c r="WV96" s="33"/>
      <c r="XF96" s="33"/>
      <c r="XP96" s="33"/>
      <c r="XZ96" s="33"/>
      <c r="YJ96" s="33"/>
      <c r="YT96" s="33"/>
      <c r="ZD96" s="33"/>
      <c r="ZN96" s="33"/>
      <c r="ZX96" s="33"/>
      <c r="AAH96" s="33"/>
      <c r="AAR96" s="33"/>
      <c r="ABB96" s="33"/>
      <c r="ABL96" s="33"/>
      <c r="ABV96" s="33"/>
      <c r="ACF96" s="33"/>
      <c r="ACP96" s="33"/>
      <c r="ACZ96" s="33"/>
      <c r="ADJ96" s="33"/>
      <c r="ADT96" s="33"/>
      <c r="AED96" s="33"/>
      <c r="AEN96" s="33"/>
      <c r="AEX96" s="33"/>
      <c r="AFH96" s="33"/>
      <c r="AFR96" s="33"/>
      <c r="AGB96" s="33"/>
      <c r="AGL96" s="33"/>
      <c r="AGV96" s="33"/>
      <c r="AHF96" s="33"/>
      <c r="AHP96" s="33"/>
      <c r="AHZ96" s="33"/>
      <c r="AIJ96" s="33"/>
      <c r="AIT96" s="33"/>
      <c r="AJD96" s="33"/>
      <c r="AJN96" s="33"/>
      <c r="AJX96" s="33"/>
      <c r="AKH96" s="33"/>
      <c r="AKR96" s="33"/>
      <c r="ALB96" s="33"/>
      <c r="ALL96" s="33"/>
      <c r="ALV96" s="33"/>
      <c r="AMF96" s="33"/>
      <c r="AMP96" s="33"/>
      <c r="AMZ96" s="33"/>
      <c r="ANJ96" s="33"/>
      <c r="ANT96" s="33"/>
      <c r="AOD96" s="33"/>
      <c r="AON96" s="33"/>
      <c r="AOX96" s="33"/>
      <c r="APH96" s="33"/>
      <c r="APR96" s="33"/>
      <c r="AQB96" s="33"/>
      <c r="AQL96" s="33"/>
      <c r="AQV96" s="33"/>
      <c r="ARF96" s="33"/>
      <c r="ARP96" s="33"/>
      <c r="ARZ96" s="33"/>
      <c r="ASJ96" s="33"/>
      <c r="AST96" s="33"/>
      <c r="ATD96" s="33"/>
      <c r="ATN96" s="33"/>
      <c r="ATX96" s="33"/>
      <c r="AUH96" s="33"/>
      <c r="AUR96" s="33"/>
      <c r="AVB96" s="33"/>
      <c r="AVL96" s="33"/>
      <c r="AVV96" s="33"/>
      <c r="AWF96" s="33"/>
      <c r="AWP96" s="33"/>
      <c r="AWZ96" s="33"/>
      <c r="AXJ96" s="33"/>
      <c r="AXT96" s="33"/>
      <c r="AYD96" s="33"/>
      <c r="AYN96" s="33"/>
      <c r="AYX96" s="33"/>
      <c r="AZH96" s="33"/>
      <c r="AZR96" s="33"/>
      <c r="BAB96" s="33"/>
      <c r="BAL96" s="33"/>
      <c r="BAV96" s="33"/>
      <c r="BBF96" s="33"/>
      <c r="BBP96" s="33"/>
      <c r="BBZ96" s="33"/>
      <c r="BCJ96" s="33"/>
      <c r="BCT96" s="33"/>
      <c r="BDD96" s="33"/>
      <c r="BDN96" s="33"/>
      <c r="BDX96" s="33"/>
      <c r="BEH96" s="33"/>
      <c r="BER96" s="33"/>
      <c r="BFB96" s="33"/>
      <c r="BFL96" s="33"/>
      <c r="BFV96" s="33"/>
      <c r="BGF96" s="33"/>
      <c r="BGP96" s="33"/>
      <c r="BGZ96" s="33"/>
      <c r="BHJ96" s="33"/>
      <c r="BHT96" s="33"/>
      <c r="BID96" s="33"/>
      <c r="BIN96" s="33"/>
      <c r="BIX96" s="33"/>
      <c r="BJH96" s="33"/>
      <c r="BJR96" s="33"/>
      <c r="BKB96" s="33"/>
      <c r="BKL96" s="33"/>
      <c r="BKV96" s="33"/>
      <c r="BLF96" s="33"/>
      <c r="BLP96" s="33"/>
      <c r="BLZ96" s="33"/>
      <c r="BMJ96" s="33"/>
      <c r="BMT96" s="33"/>
      <c r="BND96" s="33"/>
      <c r="BNN96" s="33"/>
      <c r="BNX96" s="33"/>
      <c r="BOH96" s="33"/>
      <c r="BOR96" s="33"/>
      <c r="BPB96" s="33"/>
      <c r="BPL96" s="33"/>
      <c r="BPV96" s="33"/>
      <c r="BQF96" s="33"/>
      <c r="BQP96" s="33"/>
      <c r="BQZ96" s="33"/>
      <c r="BRJ96" s="33"/>
      <c r="BRT96" s="33"/>
      <c r="BSD96" s="33"/>
      <c r="BSN96" s="33"/>
      <c r="BSX96" s="33"/>
      <c r="BTH96" s="33"/>
      <c r="BTR96" s="33"/>
      <c r="BUB96" s="33"/>
      <c r="BUL96" s="33"/>
      <c r="BUV96" s="33"/>
      <c r="BVF96" s="33"/>
      <c r="BVP96" s="33"/>
      <c r="BVZ96" s="33"/>
      <c r="BWJ96" s="33"/>
      <c r="BWT96" s="33"/>
      <c r="BXD96" s="33"/>
      <c r="BXN96" s="33"/>
      <c r="BXX96" s="33"/>
      <c r="BYH96" s="33"/>
      <c r="BYR96" s="33"/>
      <c r="BZB96" s="33"/>
      <c r="BZL96" s="33"/>
      <c r="BZV96" s="33"/>
      <c r="CAF96" s="33"/>
      <c r="CAP96" s="33"/>
      <c r="CAZ96" s="33"/>
      <c r="CBJ96" s="33"/>
      <c r="CBT96" s="33"/>
      <c r="CCD96" s="33"/>
      <c r="CCN96" s="33"/>
      <c r="CCX96" s="33"/>
      <c r="CDH96" s="33"/>
      <c r="CDR96" s="33"/>
      <c r="CEB96" s="33"/>
      <c r="CEL96" s="33"/>
      <c r="CEV96" s="33"/>
      <c r="CFF96" s="33"/>
      <c r="CFP96" s="33"/>
      <c r="CFZ96" s="33"/>
      <c r="CGJ96" s="33"/>
      <c r="CGT96" s="33"/>
      <c r="CHD96" s="33"/>
      <c r="CHN96" s="33"/>
      <c r="CHX96" s="33"/>
      <c r="CIH96" s="33"/>
      <c r="CIR96" s="33"/>
      <c r="CJB96" s="33"/>
      <c r="CJL96" s="33"/>
      <c r="CJV96" s="33"/>
      <c r="CKF96" s="33"/>
      <c r="CKP96" s="33"/>
      <c r="CKZ96" s="33"/>
      <c r="CLJ96" s="33"/>
      <c r="CLT96" s="33"/>
      <c r="CMD96" s="33"/>
      <c r="CMN96" s="33"/>
      <c r="CMX96" s="33"/>
      <c r="CNH96" s="33"/>
      <c r="CNR96" s="33"/>
      <c r="COB96" s="33"/>
      <c r="COL96" s="33"/>
      <c r="COV96" s="33"/>
      <c r="CPF96" s="33"/>
      <c r="CPP96" s="33"/>
      <c r="CPZ96" s="33"/>
      <c r="CQJ96" s="33"/>
      <c r="CQT96" s="33"/>
      <c r="CRD96" s="33"/>
      <c r="CRN96" s="33"/>
      <c r="CRX96" s="33"/>
      <c r="CSH96" s="33"/>
      <c r="CSR96" s="33"/>
      <c r="CTB96" s="33"/>
      <c r="CTL96" s="33"/>
      <c r="CTV96" s="33"/>
    </row>
    <row r="97" s="16" customFormat="1" customHeight="1" spans="1:1020 1030:2040 2050:2570">
      <c r="A97" s="57"/>
      <c r="B97" s="52"/>
      <c r="C97" s="52"/>
      <c r="D97" s="52"/>
      <c r="E97" s="52"/>
      <c r="F97" s="58" t="str">
        <f>IFERROR(VLOOKUP(E97,日报!E:G,2,0),"")</f>
        <v/>
      </c>
      <c r="G97" s="52"/>
      <c r="H97" s="53" t="str">
        <f>IFERROR(VLOOKUP(E97,基础数据!$E$4:$H$4,4,0),"")</f>
        <v/>
      </c>
      <c r="I97" s="53" t="str">
        <f>IFERROR(VLOOKUP(E97,基础数据!$E$4:$H$4,3,0),"")</f>
        <v/>
      </c>
      <c r="J97" s="52"/>
      <c r="K97" s="54" t="str">
        <f t="shared" si="1"/>
        <v/>
      </c>
      <c r="T97" s="33"/>
      <c r="AD97" s="33"/>
      <c r="AN97" s="33"/>
      <c r="AX97" s="33"/>
      <c r="BH97" s="33"/>
      <c r="BR97" s="33"/>
      <c r="CB97" s="33"/>
      <c r="CL97" s="33"/>
      <c r="CV97" s="33"/>
      <c r="DF97" s="33"/>
      <c r="DP97" s="33"/>
      <c r="DZ97" s="33"/>
      <c r="EJ97" s="33"/>
      <c r="ET97" s="33"/>
      <c r="FD97" s="33"/>
      <c r="FN97" s="33"/>
      <c r="FX97" s="33"/>
      <c r="GH97" s="33"/>
      <c r="GR97" s="33"/>
      <c r="HB97" s="33"/>
      <c r="HL97" s="33"/>
      <c r="HV97" s="33"/>
      <c r="IF97" s="33"/>
      <c r="IP97" s="33"/>
      <c r="IZ97" s="33"/>
      <c r="JJ97" s="33"/>
      <c r="JT97" s="33"/>
      <c r="KD97" s="33"/>
      <c r="KN97" s="33"/>
      <c r="KX97" s="33"/>
      <c r="LH97" s="33"/>
      <c r="LR97" s="33"/>
      <c r="MB97" s="33"/>
      <c r="ML97" s="33"/>
      <c r="MV97" s="33"/>
      <c r="NF97" s="33"/>
      <c r="NP97" s="33"/>
      <c r="NZ97" s="33"/>
      <c r="OJ97" s="33"/>
      <c r="OT97" s="33"/>
      <c r="PD97" s="33"/>
      <c r="PN97" s="33"/>
      <c r="PX97" s="33"/>
      <c r="QH97" s="33"/>
      <c r="QR97" s="33"/>
      <c r="RB97" s="33"/>
      <c r="RL97" s="33"/>
      <c r="RV97" s="33"/>
      <c r="SF97" s="33"/>
      <c r="SP97" s="33"/>
      <c r="SZ97" s="33"/>
      <c r="TJ97" s="33"/>
      <c r="TT97" s="33"/>
      <c r="UD97" s="33"/>
      <c r="UN97" s="33"/>
      <c r="UX97" s="33"/>
      <c r="VH97" s="33"/>
      <c r="VR97" s="33"/>
      <c r="WB97" s="33"/>
      <c r="WL97" s="33"/>
      <c r="WV97" s="33"/>
      <c r="XF97" s="33"/>
      <c r="XP97" s="33"/>
      <c r="XZ97" s="33"/>
      <c r="YJ97" s="33"/>
      <c r="YT97" s="33"/>
      <c r="ZD97" s="33"/>
      <c r="ZN97" s="33"/>
      <c r="ZX97" s="33"/>
      <c r="AAH97" s="33"/>
      <c r="AAR97" s="33"/>
      <c r="ABB97" s="33"/>
      <c r="ABL97" s="33"/>
      <c r="ABV97" s="33"/>
      <c r="ACF97" s="33"/>
      <c r="ACP97" s="33"/>
      <c r="ACZ97" s="33"/>
      <c r="ADJ97" s="33"/>
      <c r="ADT97" s="33"/>
      <c r="AED97" s="33"/>
      <c r="AEN97" s="33"/>
      <c r="AEX97" s="33"/>
      <c r="AFH97" s="33"/>
      <c r="AFR97" s="33"/>
      <c r="AGB97" s="33"/>
      <c r="AGL97" s="33"/>
      <c r="AGV97" s="33"/>
      <c r="AHF97" s="33"/>
      <c r="AHP97" s="33"/>
      <c r="AHZ97" s="33"/>
      <c r="AIJ97" s="33"/>
      <c r="AIT97" s="33"/>
      <c r="AJD97" s="33"/>
      <c r="AJN97" s="33"/>
      <c r="AJX97" s="33"/>
      <c r="AKH97" s="33"/>
      <c r="AKR97" s="33"/>
      <c r="ALB97" s="33"/>
      <c r="ALL97" s="33"/>
      <c r="ALV97" s="33"/>
      <c r="AMF97" s="33"/>
      <c r="AMP97" s="33"/>
      <c r="AMZ97" s="33"/>
      <c r="ANJ97" s="33"/>
      <c r="ANT97" s="33"/>
      <c r="AOD97" s="33"/>
      <c r="AON97" s="33"/>
      <c r="AOX97" s="33"/>
      <c r="APH97" s="33"/>
      <c r="APR97" s="33"/>
      <c r="AQB97" s="33"/>
      <c r="AQL97" s="33"/>
      <c r="AQV97" s="33"/>
      <c r="ARF97" s="33"/>
      <c r="ARP97" s="33"/>
      <c r="ARZ97" s="33"/>
      <c r="ASJ97" s="33"/>
      <c r="AST97" s="33"/>
      <c r="ATD97" s="33"/>
      <c r="ATN97" s="33"/>
      <c r="ATX97" s="33"/>
      <c r="AUH97" s="33"/>
      <c r="AUR97" s="33"/>
      <c r="AVB97" s="33"/>
      <c r="AVL97" s="33"/>
      <c r="AVV97" s="33"/>
      <c r="AWF97" s="33"/>
      <c r="AWP97" s="33"/>
      <c r="AWZ97" s="33"/>
      <c r="AXJ97" s="33"/>
      <c r="AXT97" s="33"/>
      <c r="AYD97" s="33"/>
      <c r="AYN97" s="33"/>
      <c r="AYX97" s="33"/>
      <c r="AZH97" s="33"/>
      <c r="AZR97" s="33"/>
      <c r="BAB97" s="33"/>
      <c r="BAL97" s="33"/>
      <c r="BAV97" s="33"/>
      <c r="BBF97" s="33"/>
      <c r="BBP97" s="33"/>
      <c r="BBZ97" s="33"/>
      <c r="BCJ97" s="33"/>
      <c r="BCT97" s="33"/>
      <c r="BDD97" s="33"/>
      <c r="BDN97" s="33"/>
      <c r="BDX97" s="33"/>
      <c r="BEH97" s="33"/>
      <c r="BER97" s="33"/>
      <c r="BFB97" s="33"/>
      <c r="BFL97" s="33"/>
      <c r="BFV97" s="33"/>
      <c r="BGF97" s="33"/>
      <c r="BGP97" s="33"/>
      <c r="BGZ97" s="33"/>
      <c r="BHJ97" s="33"/>
      <c r="BHT97" s="33"/>
      <c r="BID97" s="33"/>
      <c r="BIN97" s="33"/>
      <c r="BIX97" s="33"/>
      <c r="BJH97" s="33"/>
      <c r="BJR97" s="33"/>
      <c r="BKB97" s="33"/>
      <c r="BKL97" s="33"/>
      <c r="BKV97" s="33"/>
      <c r="BLF97" s="33"/>
      <c r="BLP97" s="33"/>
      <c r="BLZ97" s="33"/>
      <c r="BMJ97" s="33"/>
      <c r="BMT97" s="33"/>
      <c r="BND97" s="33"/>
      <c r="BNN97" s="33"/>
      <c r="BNX97" s="33"/>
      <c r="BOH97" s="33"/>
      <c r="BOR97" s="33"/>
      <c r="BPB97" s="33"/>
      <c r="BPL97" s="33"/>
      <c r="BPV97" s="33"/>
      <c r="BQF97" s="33"/>
      <c r="BQP97" s="33"/>
      <c r="BQZ97" s="33"/>
      <c r="BRJ97" s="33"/>
      <c r="BRT97" s="33"/>
      <c r="BSD97" s="33"/>
      <c r="BSN97" s="33"/>
      <c r="BSX97" s="33"/>
      <c r="BTH97" s="33"/>
      <c r="BTR97" s="33"/>
      <c r="BUB97" s="33"/>
      <c r="BUL97" s="33"/>
      <c r="BUV97" s="33"/>
      <c r="BVF97" s="33"/>
      <c r="BVP97" s="33"/>
      <c r="BVZ97" s="33"/>
      <c r="BWJ97" s="33"/>
      <c r="BWT97" s="33"/>
      <c r="BXD97" s="33"/>
      <c r="BXN97" s="33"/>
      <c r="BXX97" s="33"/>
      <c r="BYH97" s="33"/>
      <c r="BYR97" s="33"/>
      <c r="BZB97" s="33"/>
      <c r="BZL97" s="33"/>
      <c r="BZV97" s="33"/>
      <c r="CAF97" s="33"/>
      <c r="CAP97" s="33"/>
      <c r="CAZ97" s="33"/>
      <c r="CBJ97" s="33"/>
      <c r="CBT97" s="33"/>
      <c r="CCD97" s="33"/>
      <c r="CCN97" s="33"/>
      <c r="CCX97" s="33"/>
      <c r="CDH97" s="33"/>
      <c r="CDR97" s="33"/>
      <c r="CEB97" s="33"/>
      <c r="CEL97" s="33"/>
      <c r="CEV97" s="33"/>
      <c r="CFF97" s="33"/>
      <c r="CFP97" s="33"/>
      <c r="CFZ97" s="33"/>
      <c r="CGJ97" s="33"/>
      <c r="CGT97" s="33"/>
      <c r="CHD97" s="33"/>
      <c r="CHN97" s="33"/>
      <c r="CHX97" s="33"/>
      <c r="CIH97" s="33"/>
      <c r="CIR97" s="33"/>
      <c r="CJB97" s="33"/>
      <c r="CJL97" s="33"/>
      <c r="CJV97" s="33"/>
      <c r="CKF97" s="33"/>
      <c r="CKP97" s="33"/>
      <c r="CKZ97" s="33"/>
      <c r="CLJ97" s="33"/>
      <c r="CLT97" s="33"/>
      <c r="CMD97" s="33"/>
      <c r="CMN97" s="33"/>
      <c r="CMX97" s="33"/>
      <c r="CNH97" s="33"/>
      <c r="CNR97" s="33"/>
      <c r="COB97" s="33"/>
      <c r="COL97" s="33"/>
      <c r="COV97" s="33"/>
      <c r="CPF97" s="33"/>
      <c r="CPP97" s="33"/>
      <c r="CPZ97" s="33"/>
      <c r="CQJ97" s="33"/>
      <c r="CQT97" s="33"/>
      <c r="CRD97" s="33"/>
      <c r="CRN97" s="33"/>
      <c r="CRX97" s="33"/>
      <c r="CSH97" s="33"/>
      <c r="CSR97" s="33"/>
      <c r="CTB97" s="33"/>
      <c r="CTL97" s="33"/>
      <c r="CTV97" s="33"/>
    </row>
    <row r="98" s="16" customFormat="1" customHeight="1" spans="1:1020 1030:2040 2050:2570">
      <c r="A98" s="57"/>
      <c r="B98" s="52"/>
      <c r="C98" s="52"/>
      <c r="D98" s="52"/>
      <c r="E98" s="52"/>
      <c r="F98" s="58" t="str">
        <f>IFERROR(VLOOKUP(E98,日报!E:G,2,0),"")</f>
        <v/>
      </c>
      <c r="G98" s="52"/>
      <c r="H98" s="53" t="str">
        <f>IFERROR(VLOOKUP(E98,基础数据!$E$4:$H$4,4,0),"")</f>
        <v/>
      </c>
      <c r="I98" s="53" t="str">
        <f>IFERROR(VLOOKUP(E98,基础数据!$E$4:$H$4,3,0),"")</f>
        <v/>
      </c>
      <c r="J98" s="52"/>
      <c r="K98" s="54" t="str">
        <f t="shared" si="1"/>
        <v/>
      </c>
      <c r="T98" s="33"/>
      <c r="AD98" s="33"/>
      <c r="AN98" s="33"/>
      <c r="AX98" s="33"/>
      <c r="BH98" s="33"/>
      <c r="BR98" s="33"/>
      <c r="CB98" s="33"/>
      <c r="CL98" s="33"/>
      <c r="CV98" s="33"/>
      <c r="DF98" s="33"/>
      <c r="DP98" s="33"/>
      <c r="DZ98" s="33"/>
      <c r="EJ98" s="33"/>
      <c r="ET98" s="33"/>
      <c r="FD98" s="33"/>
      <c r="FN98" s="33"/>
      <c r="FX98" s="33"/>
      <c r="GH98" s="33"/>
      <c r="GR98" s="33"/>
      <c r="HB98" s="33"/>
      <c r="HL98" s="33"/>
      <c r="HV98" s="33"/>
      <c r="IF98" s="33"/>
      <c r="IP98" s="33"/>
      <c r="IZ98" s="33"/>
      <c r="JJ98" s="33"/>
      <c r="JT98" s="33"/>
      <c r="KD98" s="33"/>
      <c r="KN98" s="33"/>
      <c r="KX98" s="33"/>
      <c r="LH98" s="33"/>
      <c r="LR98" s="33"/>
      <c r="MB98" s="33"/>
      <c r="ML98" s="33"/>
      <c r="MV98" s="33"/>
      <c r="NF98" s="33"/>
      <c r="NP98" s="33"/>
      <c r="NZ98" s="33"/>
      <c r="OJ98" s="33"/>
      <c r="OT98" s="33"/>
      <c r="PD98" s="33"/>
      <c r="PN98" s="33"/>
      <c r="PX98" s="33"/>
      <c r="QH98" s="33"/>
      <c r="QR98" s="33"/>
      <c r="RB98" s="33"/>
      <c r="RL98" s="33"/>
      <c r="RV98" s="33"/>
      <c r="SF98" s="33"/>
      <c r="SP98" s="33"/>
      <c r="SZ98" s="33"/>
      <c r="TJ98" s="33"/>
      <c r="TT98" s="33"/>
      <c r="UD98" s="33"/>
      <c r="UN98" s="33"/>
      <c r="UX98" s="33"/>
      <c r="VH98" s="33"/>
      <c r="VR98" s="33"/>
      <c r="WB98" s="33"/>
      <c r="WL98" s="33"/>
      <c r="WV98" s="33"/>
      <c r="XF98" s="33"/>
      <c r="XP98" s="33"/>
      <c r="XZ98" s="33"/>
      <c r="YJ98" s="33"/>
      <c r="YT98" s="33"/>
      <c r="ZD98" s="33"/>
      <c r="ZN98" s="33"/>
      <c r="ZX98" s="33"/>
      <c r="AAH98" s="33"/>
      <c r="AAR98" s="33"/>
      <c r="ABB98" s="33"/>
      <c r="ABL98" s="33"/>
      <c r="ABV98" s="33"/>
      <c r="ACF98" s="33"/>
      <c r="ACP98" s="33"/>
      <c r="ACZ98" s="33"/>
      <c r="ADJ98" s="33"/>
      <c r="ADT98" s="33"/>
      <c r="AED98" s="33"/>
      <c r="AEN98" s="33"/>
      <c r="AEX98" s="33"/>
      <c r="AFH98" s="33"/>
      <c r="AFR98" s="33"/>
      <c r="AGB98" s="33"/>
      <c r="AGL98" s="33"/>
      <c r="AGV98" s="33"/>
      <c r="AHF98" s="33"/>
      <c r="AHP98" s="33"/>
      <c r="AHZ98" s="33"/>
      <c r="AIJ98" s="33"/>
      <c r="AIT98" s="33"/>
      <c r="AJD98" s="33"/>
      <c r="AJN98" s="33"/>
      <c r="AJX98" s="33"/>
      <c r="AKH98" s="33"/>
      <c r="AKR98" s="33"/>
      <c r="ALB98" s="33"/>
      <c r="ALL98" s="33"/>
      <c r="ALV98" s="33"/>
      <c r="AMF98" s="33"/>
      <c r="AMP98" s="33"/>
      <c r="AMZ98" s="33"/>
      <c r="ANJ98" s="33"/>
      <c r="ANT98" s="33"/>
      <c r="AOD98" s="33"/>
      <c r="AON98" s="33"/>
      <c r="AOX98" s="33"/>
      <c r="APH98" s="33"/>
      <c r="APR98" s="33"/>
      <c r="AQB98" s="33"/>
      <c r="AQL98" s="33"/>
      <c r="AQV98" s="33"/>
      <c r="ARF98" s="33"/>
      <c r="ARP98" s="33"/>
      <c r="ARZ98" s="33"/>
      <c r="ASJ98" s="33"/>
      <c r="AST98" s="33"/>
      <c r="ATD98" s="33"/>
      <c r="ATN98" s="33"/>
      <c r="ATX98" s="33"/>
      <c r="AUH98" s="33"/>
      <c r="AUR98" s="33"/>
      <c r="AVB98" s="33"/>
      <c r="AVL98" s="33"/>
      <c r="AVV98" s="33"/>
      <c r="AWF98" s="33"/>
      <c r="AWP98" s="33"/>
      <c r="AWZ98" s="33"/>
      <c r="AXJ98" s="33"/>
      <c r="AXT98" s="33"/>
      <c r="AYD98" s="33"/>
      <c r="AYN98" s="33"/>
      <c r="AYX98" s="33"/>
      <c r="AZH98" s="33"/>
      <c r="AZR98" s="33"/>
      <c r="BAB98" s="33"/>
      <c r="BAL98" s="33"/>
      <c r="BAV98" s="33"/>
      <c r="BBF98" s="33"/>
      <c r="BBP98" s="33"/>
      <c r="BBZ98" s="33"/>
      <c r="BCJ98" s="33"/>
      <c r="BCT98" s="33"/>
      <c r="BDD98" s="33"/>
      <c r="BDN98" s="33"/>
      <c r="BDX98" s="33"/>
      <c r="BEH98" s="33"/>
      <c r="BER98" s="33"/>
      <c r="BFB98" s="33"/>
      <c r="BFL98" s="33"/>
      <c r="BFV98" s="33"/>
      <c r="BGF98" s="33"/>
      <c r="BGP98" s="33"/>
      <c r="BGZ98" s="33"/>
      <c r="BHJ98" s="33"/>
      <c r="BHT98" s="33"/>
      <c r="BID98" s="33"/>
      <c r="BIN98" s="33"/>
      <c r="BIX98" s="33"/>
      <c r="BJH98" s="33"/>
      <c r="BJR98" s="33"/>
      <c r="BKB98" s="33"/>
      <c r="BKL98" s="33"/>
      <c r="BKV98" s="33"/>
      <c r="BLF98" s="33"/>
      <c r="BLP98" s="33"/>
      <c r="BLZ98" s="33"/>
      <c r="BMJ98" s="33"/>
      <c r="BMT98" s="33"/>
      <c r="BND98" s="33"/>
      <c r="BNN98" s="33"/>
      <c r="BNX98" s="33"/>
      <c r="BOH98" s="33"/>
      <c r="BOR98" s="33"/>
      <c r="BPB98" s="33"/>
      <c r="BPL98" s="33"/>
      <c r="BPV98" s="33"/>
      <c r="BQF98" s="33"/>
      <c r="BQP98" s="33"/>
      <c r="BQZ98" s="33"/>
      <c r="BRJ98" s="33"/>
      <c r="BRT98" s="33"/>
      <c r="BSD98" s="33"/>
      <c r="BSN98" s="33"/>
      <c r="BSX98" s="33"/>
      <c r="BTH98" s="33"/>
      <c r="BTR98" s="33"/>
      <c r="BUB98" s="33"/>
      <c r="BUL98" s="33"/>
      <c r="BUV98" s="33"/>
      <c r="BVF98" s="33"/>
      <c r="BVP98" s="33"/>
      <c r="BVZ98" s="33"/>
      <c r="BWJ98" s="33"/>
      <c r="BWT98" s="33"/>
      <c r="BXD98" s="33"/>
      <c r="BXN98" s="33"/>
      <c r="BXX98" s="33"/>
      <c r="BYH98" s="33"/>
      <c r="BYR98" s="33"/>
      <c r="BZB98" s="33"/>
      <c r="BZL98" s="33"/>
      <c r="BZV98" s="33"/>
      <c r="CAF98" s="33"/>
      <c r="CAP98" s="33"/>
      <c r="CAZ98" s="33"/>
      <c r="CBJ98" s="33"/>
      <c r="CBT98" s="33"/>
      <c r="CCD98" s="33"/>
      <c r="CCN98" s="33"/>
      <c r="CCX98" s="33"/>
      <c r="CDH98" s="33"/>
      <c r="CDR98" s="33"/>
      <c r="CEB98" s="33"/>
      <c r="CEL98" s="33"/>
      <c r="CEV98" s="33"/>
      <c r="CFF98" s="33"/>
      <c r="CFP98" s="33"/>
      <c r="CFZ98" s="33"/>
      <c r="CGJ98" s="33"/>
      <c r="CGT98" s="33"/>
      <c r="CHD98" s="33"/>
      <c r="CHN98" s="33"/>
      <c r="CHX98" s="33"/>
      <c r="CIH98" s="33"/>
      <c r="CIR98" s="33"/>
      <c r="CJB98" s="33"/>
      <c r="CJL98" s="33"/>
      <c r="CJV98" s="33"/>
      <c r="CKF98" s="33"/>
      <c r="CKP98" s="33"/>
      <c r="CKZ98" s="33"/>
      <c r="CLJ98" s="33"/>
      <c r="CLT98" s="33"/>
      <c r="CMD98" s="33"/>
      <c r="CMN98" s="33"/>
      <c r="CMX98" s="33"/>
      <c r="CNH98" s="33"/>
      <c r="CNR98" s="33"/>
      <c r="COB98" s="33"/>
      <c r="COL98" s="33"/>
      <c r="COV98" s="33"/>
      <c r="CPF98" s="33"/>
      <c r="CPP98" s="33"/>
      <c r="CPZ98" s="33"/>
      <c r="CQJ98" s="33"/>
      <c r="CQT98" s="33"/>
      <c r="CRD98" s="33"/>
      <c r="CRN98" s="33"/>
      <c r="CRX98" s="33"/>
      <c r="CSH98" s="33"/>
      <c r="CSR98" s="33"/>
      <c r="CTB98" s="33"/>
      <c r="CTL98" s="33"/>
      <c r="CTV98" s="33"/>
    </row>
    <row r="99" s="16" customFormat="1" customHeight="1" spans="1:1020 1030:2040 2050:2570">
      <c r="A99" s="57"/>
      <c r="B99" s="52"/>
      <c r="C99" s="52"/>
      <c r="D99" s="52"/>
      <c r="E99" s="52"/>
      <c r="F99" s="58" t="str">
        <f>IFERROR(VLOOKUP(E99,日报!E:G,2,0),"")</f>
        <v/>
      </c>
      <c r="G99" s="52"/>
      <c r="H99" s="53" t="str">
        <f>IFERROR(VLOOKUP(E99,基础数据!$E$4:$H$4,4,0),"")</f>
        <v/>
      </c>
      <c r="I99" s="53" t="str">
        <f>IFERROR(VLOOKUP(E99,基础数据!$E$4:$H$4,3,0),"")</f>
        <v/>
      </c>
      <c r="J99" s="52"/>
      <c r="K99" s="54" t="str">
        <f t="shared" si="1"/>
        <v/>
      </c>
      <c r="T99" s="33"/>
      <c r="AD99" s="33"/>
      <c r="AN99" s="33"/>
      <c r="AX99" s="33"/>
      <c r="BH99" s="33"/>
      <c r="BR99" s="33"/>
      <c r="CB99" s="33"/>
      <c r="CL99" s="33"/>
      <c r="CV99" s="33"/>
      <c r="DF99" s="33"/>
      <c r="DP99" s="33"/>
      <c r="DZ99" s="33"/>
      <c r="EJ99" s="33"/>
      <c r="ET99" s="33"/>
      <c r="FD99" s="33"/>
      <c r="FN99" s="33"/>
      <c r="FX99" s="33"/>
      <c r="GH99" s="33"/>
      <c r="GR99" s="33"/>
      <c r="HB99" s="33"/>
      <c r="HL99" s="33"/>
      <c r="HV99" s="33"/>
      <c r="IF99" s="33"/>
      <c r="IP99" s="33"/>
      <c r="IZ99" s="33"/>
      <c r="JJ99" s="33"/>
      <c r="JT99" s="33"/>
      <c r="KD99" s="33"/>
      <c r="KN99" s="33"/>
      <c r="KX99" s="33"/>
      <c r="LH99" s="33"/>
      <c r="LR99" s="33"/>
      <c r="MB99" s="33"/>
      <c r="ML99" s="33"/>
      <c r="MV99" s="33"/>
      <c r="NF99" s="33"/>
      <c r="NP99" s="33"/>
      <c r="NZ99" s="33"/>
      <c r="OJ99" s="33"/>
      <c r="OT99" s="33"/>
      <c r="PD99" s="33"/>
      <c r="PN99" s="33"/>
      <c r="PX99" s="33"/>
      <c r="QH99" s="33"/>
      <c r="QR99" s="33"/>
      <c r="RB99" s="33"/>
      <c r="RL99" s="33"/>
      <c r="RV99" s="33"/>
      <c r="SF99" s="33"/>
      <c r="SP99" s="33"/>
      <c r="SZ99" s="33"/>
      <c r="TJ99" s="33"/>
      <c r="TT99" s="33"/>
      <c r="UD99" s="33"/>
      <c r="UN99" s="33"/>
      <c r="UX99" s="33"/>
      <c r="VH99" s="33"/>
      <c r="VR99" s="33"/>
      <c r="WB99" s="33"/>
      <c r="WL99" s="33"/>
      <c r="WV99" s="33"/>
      <c r="XF99" s="33"/>
      <c r="XP99" s="33"/>
      <c r="XZ99" s="33"/>
      <c r="YJ99" s="33"/>
      <c r="YT99" s="33"/>
      <c r="ZD99" s="33"/>
      <c r="ZN99" s="33"/>
      <c r="ZX99" s="33"/>
      <c r="AAH99" s="33"/>
      <c r="AAR99" s="33"/>
      <c r="ABB99" s="33"/>
      <c r="ABL99" s="33"/>
      <c r="ABV99" s="33"/>
      <c r="ACF99" s="33"/>
      <c r="ACP99" s="33"/>
      <c r="ACZ99" s="33"/>
      <c r="ADJ99" s="33"/>
      <c r="ADT99" s="33"/>
      <c r="AED99" s="33"/>
      <c r="AEN99" s="33"/>
      <c r="AEX99" s="33"/>
      <c r="AFH99" s="33"/>
      <c r="AFR99" s="33"/>
      <c r="AGB99" s="33"/>
      <c r="AGL99" s="33"/>
      <c r="AGV99" s="33"/>
      <c r="AHF99" s="33"/>
      <c r="AHP99" s="33"/>
      <c r="AHZ99" s="33"/>
      <c r="AIJ99" s="33"/>
      <c r="AIT99" s="33"/>
      <c r="AJD99" s="33"/>
      <c r="AJN99" s="33"/>
      <c r="AJX99" s="33"/>
      <c r="AKH99" s="33"/>
      <c r="AKR99" s="33"/>
      <c r="ALB99" s="33"/>
      <c r="ALL99" s="33"/>
      <c r="ALV99" s="33"/>
      <c r="AMF99" s="33"/>
      <c r="AMP99" s="33"/>
      <c r="AMZ99" s="33"/>
      <c r="ANJ99" s="33"/>
      <c r="ANT99" s="33"/>
      <c r="AOD99" s="33"/>
      <c r="AON99" s="33"/>
      <c r="AOX99" s="33"/>
      <c r="APH99" s="33"/>
      <c r="APR99" s="33"/>
      <c r="AQB99" s="33"/>
      <c r="AQL99" s="33"/>
      <c r="AQV99" s="33"/>
      <c r="ARF99" s="33"/>
      <c r="ARP99" s="33"/>
      <c r="ARZ99" s="33"/>
      <c r="ASJ99" s="33"/>
      <c r="AST99" s="33"/>
      <c r="ATD99" s="33"/>
      <c r="ATN99" s="33"/>
      <c r="ATX99" s="33"/>
      <c r="AUH99" s="33"/>
      <c r="AUR99" s="33"/>
      <c r="AVB99" s="33"/>
      <c r="AVL99" s="33"/>
      <c r="AVV99" s="33"/>
      <c r="AWF99" s="33"/>
      <c r="AWP99" s="33"/>
      <c r="AWZ99" s="33"/>
      <c r="AXJ99" s="33"/>
      <c r="AXT99" s="33"/>
      <c r="AYD99" s="33"/>
      <c r="AYN99" s="33"/>
      <c r="AYX99" s="33"/>
      <c r="AZH99" s="33"/>
      <c r="AZR99" s="33"/>
      <c r="BAB99" s="33"/>
      <c r="BAL99" s="33"/>
      <c r="BAV99" s="33"/>
      <c r="BBF99" s="33"/>
      <c r="BBP99" s="33"/>
      <c r="BBZ99" s="33"/>
      <c r="BCJ99" s="33"/>
      <c r="BCT99" s="33"/>
      <c r="BDD99" s="33"/>
      <c r="BDN99" s="33"/>
      <c r="BDX99" s="33"/>
      <c r="BEH99" s="33"/>
      <c r="BER99" s="33"/>
      <c r="BFB99" s="33"/>
      <c r="BFL99" s="33"/>
      <c r="BFV99" s="33"/>
      <c r="BGF99" s="33"/>
      <c r="BGP99" s="33"/>
      <c r="BGZ99" s="33"/>
      <c r="BHJ99" s="33"/>
      <c r="BHT99" s="33"/>
      <c r="BID99" s="33"/>
      <c r="BIN99" s="33"/>
      <c r="BIX99" s="33"/>
      <c r="BJH99" s="33"/>
      <c r="BJR99" s="33"/>
      <c r="BKB99" s="33"/>
      <c r="BKL99" s="33"/>
      <c r="BKV99" s="33"/>
      <c r="BLF99" s="33"/>
      <c r="BLP99" s="33"/>
      <c r="BLZ99" s="33"/>
      <c r="BMJ99" s="33"/>
      <c r="BMT99" s="33"/>
      <c r="BND99" s="33"/>
      <c r="BNN99" s="33"/>
      <c r="BNX99" s="33"/>
      <c r="BOH99" s="33"/>
      <c r="BOR99" s="33"/>
      <c r="BPB99" s="33"/>
      <c r="BPL99" s="33"/>
      <c r="BPV99" s="33"/>
      <c r="BQF99" s="33"/>
      <c r="BQP99" s="33"/>
      <c r="BQZ99" s="33"/>
      <c r="BRJ99" s="33"/>
      <c r="BRT99" s="33"/>
      <c r="BSD99" s="33"/>
      <c r="BSN99" s="33"/>
      <c r="BSX99" s="33"/>
      <c r="BTH99" s="33"/>
      <c r="BTR99" s="33"/>
      <c r="BUB99" s="33"/>
      <c r="BUL99" s="33"/>
      <c r="BUV99" s="33"/>
      <c r="BVF99" s="33"/>
      <c r="BVP99" s="33"/>
      <c r="BVZ99" s="33"/>
      <c r="BWJ99" s="33"/>
      <c r="BWT99" s="33"/>
      <c r="BXD99" s="33"/>
      <c r="BXN99" s="33"/>
      <c r="BXX99" s="33"/>
      <c r="BYH99" s="33"/>
      <c r="BYR99" s="33"/>
      <c r="BZB99" s="33"/>
      <c r="BZL99" s="33"/>
      <c r="BZV99" s="33"/>
      <c r="CAF99" s="33"/>
      <c r="CAP99" s="33"/>
      <c r="CAZ99" s="33"/>
      <c r="CBJ99" s="33"/>
      <c r="CBT99" s="33"/>
      <c r="CCD99" s="33"/>
      <c r="CCN99" s="33"/>
      <c r="CCX99" s="33"/>
      <c r="CDH99" s="33"/>
      <c r="CDR99" s="33"/>
      <c r="CEB99" s="33"/>
      <c r="CEL99" s="33"/>
      <c r="CEV99" s="33"/>
      <c r="CFF99" s="33"/>
      <c r="CFP99" s="33"/>
      <c r="CFZ99" s="33"/>
      <c r="CGJ99" s="33"/>
      <c r="CGT99" s="33"/>
      <c r="CHD99" s="33"/>
      <c r="CHN99" s="33"/>
      <c r="CHX99" s="33"/>
      <c r="CIH99" s="33"/>
      <c r="CIR99" s="33"/>
      <c r="CJB99" s="33"/>
      <c r="CJL99" s="33"/>
      <c r="CJV99" s="33"/>
      <c r="CKF99" s="33"/>
      <c r="CKP99" s="33"/>
      <c r="CKZ99" s="33"/>
      <c r="CLJ99" s="33"/>
      <c r="CLT99" s="33"/>
      <c r="CMD99" s="33"/>
      <c r="CMN99" s="33"/>
      <c r="CMX99" s="33"/>
      <c r="CNH99" s="33"/>
      <c r="CNR99" s="33"/>
      <c r="COB99" s="33"/>
      <c r="COL99" s="33"/>
      <c r="COV99" s="33"/>
      <c r="CPF99" s="33"/>
      <c r="CPP99" s="33"/>
      <c r="CPZ99" s="33"/>
      <c r="CQJ99" s="33"/>
      <c r="CQT99" s="33"/>
      <c r="CRD99" s="33"/>
      <c r="CRN99" s="33"/>
      <c r="CRX99" s="33"/>
      <c r="CSH99" s="33"/>
      <c r="CSR99" s="33"/>
      <c r="CTB99" s="33"/>
      <c r="CTL99" s="33"/>
      <c r="CTV99" s="33"/>
    </row>
    <row r="100" s="16" customFormat="1" customHeight="1" spans="1:1020 1030:2040 2050:2570">
      <c r="A100" s="57"/>
      <c r="B100" s="52"/>
      <c r="C100" s="52"/>
      <c r="D100" s="52"/>
      <c r="E100" s="52"/>
      <c r="F100" s="58" t="str">
        <f>IFERROR(VLOOKUP(E100,日报!E:G,2,0),"")</f>
        <v/>
      </c>
      <c r="G100" s="52"/>
      <c r="H100" s="53" t="str">
        <f>IFERROR(VLOOKUP(E100,基础数据!$E$4:$H$4,4,0),"")</f>
        <v/>
      </c>
      <c r="I100" s="53" t="str">
        <f>IFERROR(VLOOKUP(E100,基础数据!$E$4:$H$4,3,0),"")</f>
        <v/>
      </c>
      <c r="J100" s="52"/>
      <c r="K100" s="54" t="str">
        <f t="shared" si="1"/>
        <v/>
      </c>
      <c r="T100" s="33"/>
      <c r="AD100" s="33"/>
      <c r="AN100" s="33"/>
      <c r="AX100" s="33"/>
      <c r="BH100" s="33"/>
      <c r="BR100" s="33"/>
      <c r="CB100" s="33"/>
      <c r="CL100" s="33"/>
      <c r="CV100" s="33"/>
      <c r="DF100" s="33"/>
      <c r="DP100" s="33"/>
      <c r="DZ100" s="33"/>
      <c r="EJ100" s="33"/>
      <c r="ET100" s="33"/>
      <c r="FD100" s="33"/>
      <c r="FN100" s="33"/>
      <c r="FX100" s="33"/>
      <c r="GH100" s="33"/>
      <c r="GR100" s="33"/>
      <c r="HB100" s="33"/>
      <c r="HL100" s="33"/>
      <c r="HV100" s="33"/>
      <c r="IF100" s="33"/>
      <c r="IP100" s="33"/>
      <c r="IZ100" s="33"/>
      <c r="JJ100" s="33"/>
      <c r="JT100" s="33"/>
      <c r="KD100" s="33"/>
      <c r="KN100" s="33"/>
      <c r="KX100" s="33"/>
      <c r="LH100" s="33"/>
      <c r="LR100" s="33"/>
      <c r="MB100" s="33"/>
      <c r="ML100" s="33"/>
      <c r="MV100" s="33"/>
      <c r="NF100" s="33"/>
      <c r="NP100" s="33"/>
      <c r="NZ100" s="33"/>
      <c r="OJ100" s="33"/>
      <c r="OT100" s="33"/>
      <c r="PD100" s="33"/>
      <c r="PN100" s="33"/>
      <c r="PX100" s="33"/>
      <c r="QH100" s="33"/>
      <c r="QR100" s="33"/>
      <c r="RB100" s="33"/>
      <c r="RL100" s="33"/>
      <c r="RV100" s="33"/>
      <c r="SF100" s="33"/>
      <c r="SP100" s="33"/>
      <c r="SZ100" s="33"/>
      <c r="TJ100" s="33"/>
      <c r="TT100" s="33"/>
      <c r="UD100" s="33"/>
      <c r="UN100" s="33"/>
      <c r="UX100" s="33"/>
      <c r="VH100" s="33"/>
      <c r="VR100" s="33"/>
      <c r="WB100" s="33"/>
      <c r="WL100" s="33"/>
      <c r="WV100" s="33"/>
      <c r="XF100" s="33"/>
      <c r="XP100" s="33"/>
      <c r="XZ100" s="33"/>
      <c r="YJ100" s="33"/>
      <c r="YT100" s="33"/>
      <c r="ZD100" s="33"/>
      <c r="ZN100" s="33"/>
      <c r="ZX100" s="33"/>
      <c r="AAH100" s="33"/>
      <c r="AAR100" s="33"/>
      <c r="ABB100" s="33"/>
      <c r="ABL100" s="33"/>
      <c r="ABV100" s="33"/>
      <c r="ACF100" s="33"/>
      <c r="ACP100" s="33"/>
      <c r="ACZ100" s="33"/>
      <c r="ADJ100" s="33"/>
      <c r="ADT100" s="33"/>
      <c r="AED100" s="33"/>
      <c r="AEN100" s="33"/>
      <c r="AEX100" s="33"/>
      <c r="AFH100" s="33"/>
      <c r="AFR100" s="33"/>
      <c r="AGB100" s="33"/>
      <c r="AGL100" s="33"/>
      <c r="AGV100" s="33"/>
      <c r="AHF100" s="33"/>
      <c r="AHP100" s="33"/>
      <c r="AHZ100" s="33"/>
      <c r="AIJ100" s="33"/>
      <c r="AIT100" s="33"/>
      <c r="AJD100" s="33"/>
      <c r="AJN100" s="33"/>
      <c r="AJX100" s="33"/>
      <c r="AKH100" s="33"/>
      <c r="AKR100" s="33"/>
      <c r="ALB100" s="33"/>
      <c r="ALL100" s="33"/>
      <c r="ALV100" s="33"/>
      <c r="AMF100" s="33"/>
      <c r="AMP100" s="33"/>
      <c r="AMZ100" s="33"/>
      <c r="ANJ100" s="33"/>
      <c r="ANT100" s="33"/>
      <c r="AOD100" s="33"/>
      <c r="AON100" s="33"/>
      <c r="AOX100" s="33"/>
      <c r="APH100" s="33"/>
      <c r="APR100" s="33"/>
      <c r="AQB100" s="33"/>
      <c r="AQL100" s="33"/>
      <c r="AQV100" s="33"/>
      <c r="ARF100" s="33"/>
      <c r="ARP100" s="33"/>
      <c r="ARZ100" s="33"/>
      <c r="ASJ100" s="33"/>
      <c r="AST100" s="33"/>
      <c r="ATD100" s="33"/>
      <c r="ATN100" s="33"/>
      <c r="ATX100" s="33"/>
      <c r="AUH100" s="33"/>
      <c r="AUR100" s="33"/>
      <c r="AVB100" s="33"/>
      <c r="AVL100" s="33"/>
      <c r="AVV100" s="33"/>
      <c r="AWF100" s="33"/>
      <c r="AWP100" s="33"/>
      <c r="AWZ100" s="33"/>
      <c r="AXJ100" s="33"/>
      <c r="AXT100" s="33"/>
      <c r="AYD100" s="33"/>
      <c r="AYN100" s="33"/>
      <c r="AYX100" s="33"/>
      <c r="AZH100" s="33"/>
      <c r="AZR100" s="33"/>
      <c r="BAB100" s="33"/>
      <c r="BAL100" s="33"/>
      <c r="BAV100" s="33"/>
      <c r="BBF100" s="33"/>
      <c r="BBP100" s="33"/>
      <c r="BBZ100" s="33"/>
      <c r="BCJ100" s="33"/>
      <c r="BCT100" s="33"/>
      <c r="BDD100" s="33"/>
      <c r="BDN100" s="33"/>
      <c r="BDX100" s="33"/>
      <c r="BEH100" s="33"/>
      <c r="BER100" s="33"/>
      <c r="BFB100" s="33"/>
      <c r="BFL100" s="33"/>
      <c r="BFV100" s="33"/>
      <c r="BGF100" s="33"/>
      <c r="BGP100" s="33"/>
      <c r="BGZ100" s="33"/>
      <c r="BHJ100" s="33"/>
      <c r="BHT100" s="33"/>
      <c r="BID100" s="33"/>
      <c r="BIN100" s="33"/>
      <c r="BIX100" s="33"/>
      <c r="BJH100" s="33"/>
      <c r="BJR100" s="33"/>
      <c r="BKB100" s="33"/>
      <c r="BKL100" s="33"/>
      <c r="BKV100" s="33"/>
      <c r="BLF100" s="33"/>
      <c r="BLP100" s="33"/>
      <c r="BLZ100" s="33"/>
      <c r="BMJ100" s="33"/>
      <c r="BMT100" s="33"/>
      <c r="BND100" s="33"/>
      <c r="BNN100" s="33"/>
      <c r="BNX100" s="33"/>
      <c r="BOH100" s="33"/>
      <c r="BOR100" s="33"/>
      <c r="BPB100" s="33"/>
      <c r="BPL100" s="33"/>
      <c r="BPV100" s="33"/>
      <c r="BQF100" s="33"/>
      <c r="BQP100" s="33"/>
      <c r="BQZ100" s="33"/>
      <c r="BRJ100" s="33"/>
      <c r="BRT100" s="33"/>
      <c r="BSD100" s="33"/>
      <c r="BSN100" s="33"/>
      <c r="BSX100" s="33"/>
      <c r="BTH100" s="33"/>
      <c r="BTR100" s="33"/>
      <c r="BUB100" s="33"/>
      <c r="BUL100" s="33"/>
      <c r="BUV100" s="33"/>
      <c r="BVF100" s="33"/>
      <c r="BVP100" s="33"/>
      <c r="BVZ100" s="33"/>
      <c r="BWJ100" s="33"/>
      <c r="BWT100" s="33"/>
      <c r="BXD100" s="33"/>
      <c r="BXN100" s="33"/>
      <c r="BXX100" s="33"/>
      <c r="BYH100" s="33"/>
      <c r="BYR100" s="33"/>
      <c r="BZB100" s="33"/>
      <c r="BZL100" s="33"/>
      <c r="BZV100" s="33"/>
      <c r="CAF100" s="33"/>
      <c r="CAP100" s="33"/>
      <c r="CAZ100" s="33"/>
      <c r="CBJ100" s="33"/>
      <c r="CBT100" s="33"/>
      <c r="CCD100" s="33"/>
      <c r="CCN100" s="33"/>
      <c r="CCX100" s="33"/>
      <c r="CDH100" s="33"/>
      <c r="CDR100" s="33"/>
      <c r="CEB100" s="33"/>
      <c r="CEL100" s="33"/>
      <c r="CEV100" s="33"/>
      <c r="CFF100" s="33"/>
      <c r="CFP100" s="33"/>
      <c r="CFZ100" s="33"/>
      <c r="CGJ100" s="33"/>
      <c r="CGT100" s="33"/>
      <c r="CHD100" s="33"/>
      <c r="CHN100" s="33"/>
      <c r="CHX100" s="33"/>
      <c r="CIH100" s="33"/>
      <c r="CIR100" s="33"/>
      <c r="CJB100" s="33"/>
      <c r="CJL100" s="33"/>
      <c r="CJV100" s="33"/>
      <c r="CKF100" s="33"/>
      <c r="CKP100" s="33"/>
      <c r="CKZ100" s="33"/>
      <c r="CLJ100" s="33"/>
      <c r="CLT100" s="33"/>
      <c r="CMD100" s="33"/>
      <c r="CMN100" s="33"/>
      <c r="CMX100" s="33"/>
      <c r="CNH100" s="33"/>
      <c r="CNR100" s="33"/>
      <c r="COB100" s="33"/>
      <c r="COL100" s="33"/>
      <c r="COV100" s="33"/>
      <c r="CPF100" s="33"/>
      <c r="CPP100" s="33"/>
      <c r="CPZ100" s="33"/>
      <c r="CQJ100" s="33"/>
      <c r="CQT100" s="33"/>
      <c r="CRD100" s="33"/>
      <c r="CRN100" s="33"/>
      <c r="CRX100" s="33"/>
      <c r="CSH100" s="33"/>
      <c r="CSR100" s="33"/>
      <c r="CTB100" s="33"/>
      <c r="CTL100" s="33"/>
      <c r="CTV100" s="33"/>
    </row>
    <row r="101" s="16" customFormat="1" customHeight="1" spans="1:1020 1030:2040 2050:2570">
      <c r="A101" s="57"/>
      <c r="B101" s="52"/>
      <c r="C101" s="52"/>
      <c r="D101" s="52"/>
      <c r="E101" s="52"/>
      <c r="F101" s="58" t="str">
        <f>IFERROR(VLOOKUP(E101,日报!E:G,2,0),"")</f>
        <v/>
      </c>
      <c r="G101" s="52"/>
      <c r="H101" s="53" t="str">
        <f>IFERROR(VLOOKUP(E101,基础数据!$E$4:$H$4,4,0),"")</f>
        <v/>
      </c>
      <c r="I101" s="53" t="str">
        <f>IFERROR(VLOOKUP(E101,基础数据!$E$4:$H$4,3,0),"")</f>
        <v/>
      </c>
      <c r="J101" s="52"/>
      <c r="K101" s="54" t="str">
        <f t="shared" si="1"/>
        <v/>
      </c>
      <c r="T101" s="33"/>
      <c r="AD101" s="33"/>
      <c r="AN101" s="33"/>
      <c r="AX101" s="33"/>
      <c r="BH101" s="33"/>
      <c r="BR101" s="33"/>
      <c r="CB101" s="33"/>
      <c r="CL101" s="33"/>
      <c r="CV101" s="33"/>
      <c r="DF101" s="33"/>
      <c r="DP101" s="33"/>
      <c r="DZ101" s="33"/>
      <c r="EJ101" s="33"/>
      <c r="ET101" s="33"/>
      <c r="FD101" s="33"/>
      <c r="FN101" s="33"/>
      <c r="FX101" s="33"/>
      <c r="GH101" s="33"/>
      <c r="GR101" s="33"/>
      <c r="HB101" s="33"/>
      <c r="HL101" s="33"/>
      <c r="HV101" s="33"/>
      <c r="IF101" s="33"/>
      <c r="IP101" s="33"/>
      <c r="IZ101" s="33"/>
      <c r="JJ101" s="33"/>
      <c r="JT101" s="33"/>
      <c r="KD101" s="33"/>
      <c r="KN101" s="33"/>
      <c r="KX101" s="33"/>
      <c r="LH101" s="33"/>
      <c r="LR101" s="33"/>
      <c r="MB101" s="33"/>
      <c r="ML101" s="33"/>
      <c r="MV101" s="33"/>
      <c r="NF101" s="33"/>
      <c r="NP101" s="33"/>
      <c r="NZ101" s="33"/>
      <c r="OJ101" s="33"/>
      <c r="OT101" s="33"/>
      <c r="PD101" s="33"/>
      <c r="PN101" s="33"/>
      <c r="PX101" s="33"/>
      <c r="QH101" s="33"/>
      <c r="QR101" s="33"/>
      <c r="RB101" s="33"/>
      <c r="RL101" s="33"/>
      <c r="RV101" s="33"/>
      <c r="SF101" s="33"/>
      <c r="SP101" s="33"/>
      <c r="SZ101" s="33"/>
      <c r="TJ101" s="33"/>
      <c r="TT101" s="33"/>
      <c r="UD101" s="33"/>
      <c r="UN101" s="33"/>
      <c r="UX101" s="33"/>
      <c r="VH101" s="33"/>
      <c r="VR101" s="33"/>
      <c r="WB101" s="33"/>
      <c r="WL101" s="33"/>
      <c r="WV101" s="33"/>
      <c r="XF101" s="33"/>
      <c r="XP101" s="33"/>
      <c r="XZ101" s="33"/>
      <c r="YJ101" s="33"/>
      <c r="YT101" s="33"/>
      <c r="ZD101" s="33"/>
      <c r="ZN101" s="33"/>
      <c r="ZX101" s="33"/>
      <c r="AAH101" s="33"/>
      <c r="AAR101" s="33"/>
      <c r="ABB101" s="33"/>
      <c r="ABL101" s="33"/>
      <c r="ABV101" s="33"/>
      <c r="ACF101" s="33"/>
      <c r="ACP101" s="33"/>
      <c r="ACZ101" s="33"/>
      <c r="ADJ101" s="33"/>
      <c r="ADT101" s="33"/>
      <c r="AED101" s="33"/>
      <c r="AEN101" s="33"/>
      <c r="AEX101" s="33"/>
      <c r="AFH101" s="33"/>
      <c r="AFR101" s="33"/>
      <c r="AGB101" s="33"/>
      <c r="AGL101" s="33"/>
      <c r="AGV101" s="33"/>
      <c r="AHF101" s="33"/>
      <c r="AHP101" s="33"/>
      <c r="AHZ101" s="33"/>
      <c r="AIJ101" s="33"/>
      <c r="AIT101" s="33"/>
      <c r="AJD101" s="33"/>
      <c r="AJN101" s="33"/>
      <c r="AJX101" s="33"/>
      <c r="AKH101" s="33"/>
      <c r="AKR101" s="33"/>
      <c r="ALB101" s="33"/>
      <c r="ALL101" s="33"/>
      <c r="ALV101" s="33"/>
      <c r="AMF101" s="33"/>
      <c r="AMP101" s="33"/>
      <c r="AMZ101" s="33"/>
      <c r="ANJ101" s="33"/>
      <c r="ANT101" s="33"/>
      <c r="AOD101" s="33"/>
      <c r="AON101" s="33"/>
      <c r="AOX101" s="33"/>
      <c r="APH101" s="33"/>
      <c r="APR101" s="33"/>
      <c r="AQB101" s="33"/>
      <c r="AQL101" s="33"/>
      <c r="AQV101" s="33"/>
      <c r="ARF101" s="33"/>
      <c r="ARP101" s="33"/>
      <c r="ARZ101" s="33"/>
      <c r="ASJ101" s="33"/>
      <c r="AST101" s="33"/>
      <c r="ATD101" s="33"/>
      <c r="ATN101" s="33"/>
      <c r="ATX101" s="33"/>
      <c r="AUH101" s="33"/>
      <c r="AUR101" s="33"/>
      <c r="AVB101" s="33"/>
      <c r="AVL101" s="33"/>
      <c r="AVV101" s="33"/>
      <c r="AWF101" s="33"/>
      <c r="AWP101" s="33"/>
      <c r="AWZ101" s="33"/>
      <c r="AXJ101" s="33"/>
      <c r="AXT101" s="33"/>
      <c r="AYD101" s="33"/>
      <c r="AYN101" s="33"/>
      <c r="AYX101" s="33"/>
      <c r="AZH101" s="33"/>
      <c r="AZR101" s="33"/>
      <c r="BAB101" s="33"/>
      <c r="BAL101" s="33"/>
      <c r="BAV101" s="33"/>
      <c r="BBF101" s="33"/>
      <c r="BBP101" s="33"/>
      <c r="BBZ101" s="33"/>
      <c r="BCJ101" s="33"/>
      <c r="BCT101" s="33"/>
      <c r="BDD101" s="33"/>
      <c r="BDN101" s="33"/>
      <c r="BDX101" s="33"/>
      <c r="BEH101" s="33"/>
      <c r="BER101" s="33"/>
      <c r="BFB101" s="33"/>
      <c r="BFL101" s="33"/>
      <c r="BFV101" s="33"/>
      <c r="BGF101" s="33"/>
      <c r="BGP101" s="33"/>
      <c r="BGZ101" s="33"/>
      <c r="BHJ101" s="33"/>
      <c r="BHT101" s="33"/>
      <c r="BID101" s="33"/>
      <c r="BIN101" s="33"/>
      <c r="BIX101" s="33"/>
      <c r="BJH101" s="33"/>
      <c r="BJR101" s="33"/>
      <c r="BKB101" s="33"/>
      <c r="BKL101" s="33"/>
      <c r="BKV101" s="33"/>
      <c r="BLF101" s="33"/>
      <c r="BLP101" s="33"/>
      <c r="BLZ101" s="33"/>
      <c r="BMJ101" s="33"/>
      <c r="BMT101" s="33"/>
      <c r="BND101" s="33"/>
      <c r="BNN101" s="33"/>
      <c r="BNX101" s="33"/>
      <c r="BOH101" s="33"/>
      <c r="BOR101" s="33"/>
      <c r="BPB101" s="33"/>
      <c r="BPL101" s="33"/>
      <c r="BPV101" s="33"/>
      <c r="BQF101" s="33"/>
      <c r="BQP101" s="33"/>
      <c r="BQZ101" s="33"/>
      <c r="BRJ101" s="33"/>
      <c r="BRT101" s="33"/>
      <c r="BSD101" s="33"/>
      <c r="BSN101" s="33"/>
      <c r="BSX101" s="33"/>
      <c r="BTH101" s="33"/>
      <c r="BTR101" s="33"/>
      <c r="BUB101" s="33"/>
      <c r="BUL101" s="33"/>
      <c r="BUV101" s="33"/>
      <c r="BVF101" s="33"/>
      <c r="BVP101" s="33"/>
      <c r="BVZ101" s="33"/>
      <c r="BWJ101" s="33"/>
      <c r="BWT101" s="33"/>
      <c r="BXD101" s="33"/>
      <c r="BXN101" s="33"/>
      <c r="BXX101" s="33"/>
      <c r="BYH101" s="33"/>
      <c r="BYR101" s="33"/>
      <c r="BZB101" s="33"/>
      <c r="BZL101" s="33"/>
      <c r="BZV101" s="33"/>
      <c r="CAF101" s="33"/>
      <c r="CAP101" s="33"/>
      <c r="CAZ101" s="33"/>
      <c r="CBJ101" s="33"/>
      <c r="CBT101" s="33"/>
      <c r="CCD101" s="33"/>
      <c r="CCN101" s="33"/>
      <c r="CCX101" s="33"/>
      <c r="CDH101" s="33"/>
      <c r="CDR101" s="33"/>
      <c r="CEB101" s="33"/>
      <c r="CEL101" s="33"/>
      <c r="CEV101" s="33"/>
      <c r="CFF101" s="33"/>
      <c r="CFP101" s="33"/>
      <c r="CFZ101" s="33"/>
      <c r="CGJ101" s="33"/>
      <c r="CGT101" s="33"/>
      <c r="CHD101" s="33"/>
      <c r="CHN101" s="33"/>
      <c r="CHX101" s="33"/>
      <c r="CIH101" s="33"/>
      <c r="CIR101" s="33"/>
      <c r="CJB101" s="33"/>
      <c r="CJL101" s="33"/>
      <c r="CJV101" s="33"/>
      <c r="CKF101" s="33"/>
      <c r="CKP101" s="33"/>
      <c r="CKZ101" s="33"/>
      <c r="CLJ101" s="33"/>
      <c r="CLT101" s="33"/>
      <c r="CMD101" s="33"/>
      <c r="CMN101" s="33"/>
      <c r="CMX101" s="33"/>
      <c r="CNH101" s="33"/>
      <c r="CNR101" s="33"/>
      <c r="COB101" s="33"/>
      <c r="COL101" s="33"/>
      <c r="COV101" s="33"/>
      <c r="CPF101" s="33"/>
      <c r="CPP101" s="33"/>
      <c r="CPZ101" s="33"/>
      <c r="CQJ101" s="33"/>
      <c r="CQT101" s="33"/>
      <c r="CRD101" s="33"/>
      <c r="CRN101" s="33"/>
      <c r="CRX101" s="33"/>
      <c r="CSH101" s="33"/>
      <c r="CSR101" s="33"/>
      <c r="CTB101" s="33"/>
      <c r="CTL101" s="33"/>
      <c r="CTV101" s="33"/>
    </row>
    <row r="102" s="16" customFormat="1" customHeight="1" spans="1:1020 1030:2040 2050:2570">
      <c r="A102" s="57"/>
      <c r="B102" s="52"/>
      <c r="C102" s="52"/>
      <c r="D102" s="52"/>
      <c r="E102" s="52"/>
      <c r="F102" s="58" t="str">
        <f>IFERROR(VLOOKUP(E102,日报!E:G,2,0),"")</f>
        <v/>
      </c>
      <c r="G102" s="52"/>
      <c r="H102" s="53" t="str">
        <f>IFERROR(VLOOKUP(E102,基础数据!$E$4:$H$4,4,0),"")</f>
        <v/>
      </c>
      <c r="I102" s="53" t="str">
        <f>IFERROR(VLOOKUP(E102,基础数据!$E$4:$H$4,3,0),"")</f>
        <v/>
      </c>
      <c r="J102" s="52"/>
      <c r="K102" s="54" t="str">
        <f t="shared" si="1"/>
        <v/>
      </c>
      <c r="T102" s="33"/>
      <c r="AD102" s="33"/>
      <c r="AN102" s="33"/>
      <c r="AX102" s="33"/>
      <c r="BH102" s="33"/>
      <c r="BR102" s="33"/>
      <c r="CB102" s="33"/>
      <c r="CL102" s="33"/>
      <c r="CV102" s="33"/>
      <c r="DF102" s="33"/>
      <c r="DP102" s="33"/>
      <c r="DZ102" s="33"/>
      <c r="EJ102" s="33"/>
      <c r="ET102" s="33"/>
      <c r="FD102" s="33"/>
      <c r="FN102" s="33"/>
      <c r="FX102" s="33"/>
      <c r="GH102" s="33"/>
      <c r="GR102" s="33"/>
      <c r="HB102" s="33"/>
      <c r="HL102" s="33"/>
      <c r="HV102" s="33"/>
      <c r="IF102" s="33"/>
      <c r="IP102" s="33"/>
      <c r="IZ102" s="33"/>
      <c r="JJ102" s="33"/>
      <c r="JT102" s="33"/>
      <c r="KD102" s="33"/>
      <c r="KN102" s="33"/>
      <c r="KX102" s="33"/>
      <c r="LH102" s="33"/>
      <c r="LR102" s="33"/>
      <c r="MB102" s="33"/>
      <c r="ML102" s="33"/>
      <c r="MV102" s="33"/>
      <c r="NF102" s="33"/>
      <c r="NP102" s="33"/>
      <c r="NZ102" s="33"/>
      <c r="OJ102" s="33"/>
      <c r="OT102" s="33"/>
      <c r="PD102" s="33"/>
      <c r="PN102" s="33"/>
      <c r="PX102" s="33"/>
      <c r="QH102" s="33"/>
      <c r="QR102" s="33"/>
      <c r="RB102" s="33"/>
      <c r="RL102" s="33"/>
      <c r="RV102" s="33"/>
      <c r="SF102" s="33"/>
      <c r="SP102" s="33"/>
      <c r="SZ102" s="33"/>
      <c r="TJ102" s="33"/>
      <c r="TT102" s="33"/>
      <c r="UD102" s="33"/>
      <c r="UN102" s="33"/>
      <c r="UX102" s="33"/>
      <c r="VH102" s="33"/>
      <c r="VR102" s="33"/>
      <c r="WB102" s="33"/>
      <c r="WL102" s="33"/>
      <c r="WV102" s="33"/>
      <c r="XF102" s="33"/>
      <c r="XP102" s="33"/>
      <c r="XZ102" s="33"/>
      <c r="YJ102" s="33"/>
      <c r="YT102" s="33"/>
      <c r="ZD102" s="33"/>
      <c r="ZN102" s="33"/>
      <c r="ZX102" s="33"/>
      <c r="AAH102" s="33"/>
      <c r="AAR102" s="33"/>
      <c r="ABB102" s="33"/>
      <c r="ABL102" s="33"/>
      <c r="ABV102" s="33"/>
      <c r="ACF102" s="33"/>
      <c r="ACP102" s="33"/>
      <c r="ACZ102" s="33"/>
      <c r="ADJ102" s="33"/>
      <c r="ADT102" s="33"/>
      <c r="AED102" s="33"/>
      <c r="AEN102" s="33"/>
      <c r="AEX102" s="33"/>
      <c r="AFH102" s="33"/>
      <c r="AFR102" s="33"/>
      <c r="AGB102" s="33"/>
      <c r="AGL102" s="33"/>
      <c r="AGV102" s="33"/>
      <c r="AHF102" s="33"/>
      <c r="AHP102" s="33"/>
      <c r="AHZ102" s="33"/>
      <c r="AIJ102" s="33"/>
      <c r="AIT102" s="33"/>
      <c r="AJD102" s="33"/>
      <c r="AJN102" s="33"/>
      <c r="AJX102" s="33"/>
      <c r="AKH102" s="33"/>
      <c r="AKR102" s="33"/>
      <c r="ALB102" s="33"/>
      <c r="ALL102" s="33"/>
      <c r="ALV102" s="33"/>
      <c r="AMF102" s="33"/>
      <c r="AMP102" s="33"/>
      <c r="AMZ102" s="33"/>
      <c r="ANJ102" s="33"/>
      <c r="ANT102" s="33"/>
      <c r="AOD102" s="33"/>
      <c r="AON102" s="33"/>
      <c r="AOX102" s="33"/>
      <c r="APH102" s="33"/>
      <c r="APR102" s="33"/>
      <c r="AQB102" s="33"/>
      <c r="AQL102" s="33"/>
      <c r="AQV102" s="33"/>
      <c r="ARF102" s="33"/>
      <c r="ARP102" s="33"/>
      <c r="ARZ102" s="33"/>
      <c r="ASJ102" s="33"/>
      <c r="AST102" s="33"/>
      <c r="ATD102" s="33"/>
      <c r="ATN102" s="33"/>
      <c r="ATX102" s="33"/>
      <c r="AUH102" s="33"/>
      <c r="AUR102" s="33"/>
      <c r="AVB102" s="33"/>
      <c r="AVL102" s="33"/>
      <c r="AVV102" s="33"/>
      <c r="AWF102" s="33"/>
      <c r="AWP102" s="33"/>
      <c r="AWZ102" s="33"/>
      <c r="AXJ102" s="33"/>
      <c r="AXT102" s="33"/>
      <c r="AYD102" s="33"/>
      <c r="AYN102" s="33"/>
      <c r="AYX102" s="33"/>
      <c r="AZH102" s="33"/>
      <c r="AZR102" s="33"/>
      <c r="BAB102" s="33"/>
      <c r="BAL102" s="33"/>
      <c r="BAV102" s="33"/>
      <c r="BBF102" s="33"/>
      <c r="BBP102" s="33"/>
      <c r="BBZ102" s="33"/>
      <c r="BCJ102" s="33"/>
      <c r="BCT102" s="33"/>
      <c r="BDD102" s="33"/>
      <c r="BDN102" s="33"/>
      <c r="BDX102" s="33"/>
      <c r="BEH102" s="33"/>
      <c r="BER102" s="33"/>
      <c r="BFB102" s="33"/>
      <c r="BFL102" s="33"/>
      <c r="BFV102" s="33"/>
      <c r="BGF102" s="33"/>
      <c r="BGP102" s="33"/>
      <c r="BGZ102" s="33"/>
      <c r="BHJ102" s="33"/>
      <c r="BHT102" s="33"/>
      <c r="BID102" s="33"/>
      <c r="BIN102" s="33"/>
      <c r="BIX102" s="33"/>
      <c r="BJH102" s="33"/>
      <c r="BJR102" s="33"/>
      <c r="BKB102" s="33"/>
      <c r="BKL102" s="33"/>
      <c r="BKV102" s="33"/>
      <c r="BLF102" s="33"/>
      <c r="BLP102" s="33"/>
      <c r="BLZ102" s="33"/>
      <c r="BMJ102" s="33"/>
      <c r="BMT102" s="33"/>
      <c r="BND102" s="33"/>
      <c r="BNN102" s="33"/>
      <c r="BNX102" s="33"/>
      <c r="BOH102" s="33"/>
      <c r="BOR102" s="33"/>
      <c r="BPB102" s="33"/>
      <c r="BPL102" s="33"/>
      <c r="BPV102" s="33"/>
      <c r="BQF102" s="33"/>
      <c r="BQP102" s="33"/>
      <c r="BQZ102" s="33"/>
      <c r="BRJ102" s="33"/>
      <c r="BRT102" s="33"/>
      <c r="BSD102" s="33"/>
      <c r="BSN102" s="33"/>
      <c r="BSX102" s="33"/>
      <c r="BTH102" s="33"/>
      <c r="BTR102" s="33"/>
      <c r="BUB102" s="33"/>
      <c r="BUL102" s="33"/>
      <c r="BUV102" s="33"/>
      <c r="BVF102" s="33"/>
      <c r="BVP102" s="33"/>
      <c r="BVZ102" s="33"/>
      <c r="BWJ102" s="33"/>
      <c r="BWT102" s="33"/>
      <c r="BXD102" s="33"/>
      <c r="BXN102" s="33"/>
      <c r="BXX102" s="33"/>
      <c r="BYH102" s="33"/>
      <c r="BYR102" s="33"/>
      <c r="BZB102" s="33"/>
      <c r="BZL102" s="33"/>
      <c r="BZV102" s="33"/>
      <c r="CAF102" s="33"/>
      <c r="CAP102" s="33"/>
      <c r="CAZ102" s="33"/>
      <c r="CBJ102" s="33"/>
      <c r="CBT102" s="33"/>
      <c r="CCD102" s="33"/>
      <c r="CCN102" s="33"/>
      <c r="CCX102" s="33"/>
      <c r="CDH102" s="33"/>
      <c r="CDR102" s="33"/>
      <c r="CEB102" s="33"/>
      <c r="CEL102" s="33"/>
      <c r="CEV102" s="33"/>
      <c r="CFF102" s="33"/>
      <c r="CFP102" s="33"/>
      <c r="CFZ102" s="33"/>
      <c r="CGJ102" s="33"/>
      <c r="CGT102" s="33"/>
      <c r="CHD102" s="33"/>
      <c r="CHN102" s="33"/>
      <c r="CHX102" s="33"/>
      <c r="CIH102" s="33"/>
      <c r="CIR102" s="33"/>
      <c r="CJB102" s="33"/>
      <c r="CJL102" s="33"/>
      <c r="CJV102" s="33"/>
      <c r="CKF102" s="33"/>
      <c r="CKP102" s="33"/>
      <c r="CKZ102" s="33"/>
      <c r="CLJ102" s="33"/>
      <c r="CLT102" s="33"/>
      <c r="CMD102" s="33"/>
      <c r="CMN102" s="33"/>
      <c r="CMX102" s="33"/>
      <c r="CNH102" s="33"/>
      <c r="CNR102" s="33"/>
      <c r="COB102" s="33"/>
      <c r="COL102" s="33"/>
      <c r="COV102" s="33"/>
      <c r="CPF102" s="33"/>
      <c r="CPP102" s="33"/>
      <c r="CPZ102" s="33"/>
      <c r="CQJ102" s="33"/>
      <c r="CQT102" s="33"/>
      <c r="CRD102" s="33"/>
      <c r="CRN102" s="33"/>
      <c r="CRX102" s="33"/>
      <c r="CSH102" s="33"/>
      <c r="CSR102" s="33"/>
      <c r="CTB102" s="33"/>
      <c r="CTL102" s="33"/>
      <c r="CTV102" s="33"/>
    </row>
    <row r="103" s="16" customFormat="1" customHeight="1" spans="1:1020 1030:2040 2050:2570">
      <c r="A103" s="57"/>
      <c r="B103" s="52"/>
      <c r="C103" s="52"/>
      <c r="D103" s="52"/>
      <c r="E103" s="52"/>
      <c r="F103" s="58" t="str">
        <f>IFERROR(VLOOKUP(E103,日报!E:G,2,0),"")</f>
        <v/>
      </c>
      <c r="G103" s="52"/>
      <c r="H103" s="53" t="str">
        <f>IFERROR(VLOOKUP(E103,基础数据!$E$4:$H$4,4,0),"")</f>
        <v/>
      </c>
      <c r="I103" s="53" t="str">
        <f>IFERROR(VLOOKUP(E103,基础数据!$E$4:$H$4,3,0),"")</f>
        <v/>
      </c>
      <c r="J103" s="52"/>
      <c r="K103" s="54" t="str">
        <f t="shared" si="1"/>
        <v/>
      </c>
      <c r="T103" s="33"/>
      <c r="AD103" s="33"/>
      <c r="AN103" s="33"/>
      <c r="AX103" s="33"/>
      <c r="BH103" s="33"/>
      <c r="BR103" s="33"/>
      <c r="CB103" s="33"/>
      <c r="CL103" s="33"/>
      <c r="CV103" s="33"/>
      <c r="DF103" s="33"/>
      <c r="DP103" s="33"/>
      <c r="DZ103" s="33"/>
      <c r="EJ103" s="33"/>
      <c r="ET103" s="33"/>
      <c r="FD103" s="33"/>
      <c r="FN103" s="33"/>
      <c r="FX103" s="33"/>
      <c r="GH103" s="33"/>
      <c r="GR103" s="33"/>
      <c r="HB103" s="33"/>
      <c r="HL103" s="33"/>
      <c r="HV103" s="33"/>
      <c r="IF103" s="33"/>
      <c r="IP103" s="33"/>
      <c r="IZ103" s="33"/>
      <c r="JJ103" s="33"/>
      <c r="JT103" s="33"/>
      <c r="KD103" s="33"/>
      <c r="KN103" s="33"/>
      <c r="KX103" s="33"/>
      <c r="LH103" s="33"/>
      <c r="LR103" s="33"/>
      <c r="MB103" s="33"/>
      <c r="ML103" s="33"/>
      <c r="MV103" s="33"/>
      <c r="NF103" s="33"/>
      <c r="NP103" s="33"/>
      <c r="NZ103" s="33"/>
      <c r="OJ103" s="33"/>
      <c r="OT103" s="33"/>
      <c r="PD103" s="33"/>
      <c r="PN103" s="33"/>
      <c r="PX103" s="33"/>
      <c r="QH103" s="33"/>
      <c r="QR103" s="33"/>
      <c r="RB103" s="33"/>
      <c r="RL103" s="33"/>
      <c r="RV103" s="33"/>
      <c r="SF103" s="33"/>
      <c r="SP103" s="33"/>
      <c r="SZ103" s="33"/>
      <c r="TJ103" s="33"/>
      <c r="TT103" s="33"/>
      <c r="UD103" s="33"/>
      <c r="UN103" s="33"/>
      <c r="UX103" s="33"/>
      <c r="VH103" s="33"/>
      <c r="VR103" s="33"/>
      <c r="WB103" s="33"/>
      <c r="WL103" s="33"/>
      <c r="WV103" s="33"/>
      <c r="XF103" s="33"/>
      <c r="XP103" s="33"/>
      <c r="XZ103" s="33"/>
      <c r="YJ103" s="33"/>
      <c r="YT103" s="33"/>
      <c r="ZD103" s="33"/>
      <c r="ZN103" s="33"/>
      <c r="ZX103" s="33"/>
      <c r="AAH103" s="33"/>
      <c r="AAR103" s="33"/>
      <c r="ABB103" s="33"/>
      <c r="ABL103" s="33"/>
      <c r="ABV103" s="33"/>
      <c r="ACF103" s="33"/>
      <c r="ACP103" s="33"/>
      <c r="ACZ103" s="33"/>
      <c r="ADJ103" s="33"/>
      <c r="ADT103" s="33"/>
      <c r="AED103" s="33"/>
      <c r="AEN103" s="33"/>
      <c r="AEX103" s="33"/>
      <c r="AFH103" s="33"/>
      <c r="AFR103" s="33"/>
      <c r="AGB103" s="33"/>
      <c r="AGL103" s="33"/>
      <c r="AGV103" s="33"/>
      <c r="AHF103" s="33"/>
      <c r="AHP103" s="33"/>
      <c r="AHZ103" s="33"/>
      <c r="AIJ103" s="33"/>
      <c r="AIT103" s="33"/>
      <c r="AJD103" s="33"/>
      <c r="AJN103" s="33"/>
      <c r="AJX103" s="33"/>
      <c r="AKH103" s="33"/>
      <c r="AKR103" s="33"/>
      <c r="ALB103" s="33"/>
      <c r="ALL103" s="33"/>
      <c r="ALV103" s="33"/>
      <c r="AMF103" s="33"/>
      <c r="AMP103" s="33"/>
      <c r="AMZ103" s="33"/>
      <c r="ANJ103" s="33"/>
      <c r="ANT103" s="33"/>
      <c r="AOD103" s="33"/>
      <c r="AON103" s="33"/>
      <c r="AOX103" s="33"/>
      <c r="APH103" s="33"/>
      <c r="APR103" s="33"/>
      <c r="AQB103" s="33"/>
      <c r="AQL103" s="33"/>
      <c r="AQV103" s="33"/>
      <c r="ARF103" s="33"/>
      <c r="ARP103" s="33"/>
      <c r="ARZ103" s="33"/>
      <c r="ASJ103" s="33"/>
      <c r="AST103" s="33"/>
      <c r="ATD103" s="33"/>
      <c r="ATN103" s="33"/>
      <c r="ATX103" s="33"/>
      <c r="AUH103" s="33"/>
      <c r="AUR103" s="33"/>
      <c r="AVB103" s="33"/>
      <c r="AVL103" s="33"/>
      <c r="AVV103" s="33"/>
      <c r="AWF103" s="33"/>
      <c r="AWP103" s="33"/>
      <c r="AWZ103" s="33"/>
      <c r="AXJ103" s="33"/>
      <c r="AXT103" s="33"/>
      <c r="AYD103" s="33"/>
      <c r="AYN103" s="33"/>
      <c r="AYX103" s="33"/>
      <c r="AZH103" s="33"/>
      <c r="AZR103" s="33"/>
      <c r="BAB103" s="33"/>
      <c r="BAL103" s="33"/>
      <c r="BAV103" s="33"/>
      <c r="BBF103" s="33"/>
      <c r="BBP103" s="33"/>
      <c r="BBZ103" s="33"/>
      <c r="BCJ103" s="33"/>
      <c r="BCT103" s="33"/>
      <c r="BDD103" s="33"/>
      <c r="BDN103" s="33"/>
      <c r="BDX103" s="33"/>
      <c r="BEH103" s="33"/>
      <c r="BER103" s="33"/>
      <c r="BFB103" s="33"/>
      <c r="BFL103" s="33"/>
      <c r="BFV103" s="33"/>
      <c r="BGF103" s="33"/>
      <c r="BGP103" s="33"/>
      <c r="BGZ103" s="33"/>
      <c r="BHJ103" s="33"/>
      <c r="BHT103" s="33"/>
      <c r="BID103" s="33"/>
      <c r="BIN103" s="33"/>
      <c r="BIX103" s="33"/>
      <c r="BJH103" s="33"/>
      <c r="BJR103" s="33"/>
      <c r="BKB103" s="33"/>
      <c r="BKL103" s="33"/>
      <c r="BKV103" s="33"/>
      <c r="BLF103" s="33"/>
      <c r="BLP103" s="33"/>
      <c r="BLZ103" s="33"/>
      <c r="BMJ103" s="33"/>
      <c r="BMT103" s="33"/>
      <c r="BND103" s="33"/>
      <c r="BNN103" s="33"/>
      <c r="BNX103" s="33"/>
      <c r="BOH103" s="33"/>
      <c r="BOR103" s="33"/>
      <c r="BPB103" s="33"/>
      <c r="BPL103" s="33"/>
      <c r="BPV103" s="33"/>
      <c r="BQF103" s="33"/>
      <c r="BQP103" s="33"/>
      <c r="BQZ103" s="33"/>
      <c r="BRJ103" s="33"/>
      <c r="BRT103" s="33"/>
      <c r="BSD103" s="33"/>
      <c r="BSN103" s="33"/>
      <c r="BSX103" s="33"/>
      <c r="BTH103" s="33"/>
      <c r="BTR103" s="33"/>
      <c r="BUB103" s="33"/>
      <c r="BUL103" s="33"/>
      <c r="BUV103" s="33"/>
      <c r="BVF103" s="33"/>
      <c r="BVP103" s="33"/>
      <c r="BVZ103" s="33"/>
      <c r="BWJ103" s="33"/>
      <c r="BWT103" s="33"/>
      <c r="BXD103" s="33"/>
      <c r="BXN103" s="33"/>
      <c r="BXX103" s="33"/>
      <c r="BYH103" s="33"/>
      <c r="BYR103" s="33"/>
      <c r="BZB103" s="33"/>
      <c r="BZL103" s="33"/>
      <c r="BZV103" s="33"/>
      <c r="CAF103" s="33"/>
      <c r="CAP103" s="33"/>
      <c r="CAZ103" s="33"/>
      <c r="CBJ103" s="33"/>
      <c r="CBT103" s="33"/>
      <c r="CCD103" s="33"/>
      <c r="CCN103" s="33"/>
      <c r="CCX103" s="33"/>
      <c r="CDH103" s="33"/>
      <c r="CDR103" s="33"/>
      <c r="CEB103" s="33"/>
      <c r="CEL103" s="33"/>
      <c r="CEV103" s="33"/>
      <c r="CFF103" s="33"/>
      <c r="CFP103" s="33"/>
      <c r="CFZ103" s="33"/>
      <c r="CGJ103" s="33"/>
      <c r="CGT103" s="33"/>
      <c r="CHD103" s="33"/>
      <c r="CHN103" s="33"/>
      <c r="CHX103" s="33"/>
      <c r="CIH103" s="33"/>
      <c r="CIR103" s="33"/>
      <c r="CJB103" s="33"/>
      <c r="CJL103" s="33"/>
      <c r="CJV103" s="33"/>
      <c r="CKF103" s="33"/>
      <c r="CKP103" s="33"/>
      <c r="CKZ103" s="33"/>
      <c r="CLJ103" s="33"/>
      <c r="CLT103" s="33"/>
      <c r="CMD103" s="33"/>
      <c r="CMN103" s="33"/>
      <c r="CMX103" s="33"/>
      <c r="CNH103" s="33"/>
      <c r="CNR103" s="33"/>
      <c r="COB103" s="33"/>
      <c r="COL103" s="33"/>
      <c r="COV103" s="33"/>
      <c r="CPF103" s="33"/>
      <c r="CPP103" s="33"/>
      <c r="CPZ103" s="33"/>
      <c r="CQJ103" s="33"/>
      <c r="CQT103" s="33"/>
      <c r="CRD103" s="33"/>
      <c r="CRN103" s="33"/>
      <c r="CRX103" s="33"/>
      <c r="CSH103" s="33"/>
      <c r="CSR103" s="33"/>
      <c r="CTB103" s="33"/>
      <c r="CTL103" s="33"/>
      <c r="CTV103" s="33"/>
    </row>
    <row r="104" s="16" customFormat="1" customHeight="1" spans="1:1020 1030:2040 2050:2570">
      <c r="A104" s="57"/>
      <c r="B104" s="52"/>
      <c r="C104" s="52"/>
      <c r="D104" s="52"/>
      <c r="E104" s="52"/>
      <c r="F104" s="58" t="str">
        <f>IFERROR(VLOOKUP(E104,日报!E:G,2,0),"")</f>
        <v/>
      </c>
      <c r="G104" s="52"/>
      <c r="H104" s="53" t="str">
        <f>IFERROR(VLOOKUP(E104,基础数据!$E$4:$H$4,4,0),"")</f>
        <v/>
      </c>
      <c r="I104" s="53" t="str">
        <f>IFERROR(VLOOKUP(E104,基础数据!$E$4:$H$4,3,0),"")</f>
        <v/>
      </c>
      <c r="J104" s="52"/>
      <c r="K104" s="54" t="str">
        <f t="shared" si="1"/>
        <v/>
      </c>
      <c r="T104" s="33"/>
      <c r="AD104" s="33"/>
      <c r="AN104" s="33"/>
      <c r="AX104" s="33"/>
      <c r="BH104" s="33"/>
      <c r="BR104" s="33"/>
      <c r="CB104" s="33"/>
      <c r="CL104" s="33"/>
      <c r="CV104" s="33"/>
      <c r="DF104" s="33"/>
      <c r="DP104" s="33"/>
      <c r="DZ104" s="33"/>
      <c r="EJ104" s="33"/>
      <c r="ET104" s="33"/>
      <c r="FD104" s="33"/>
      <c r="FN104" s="33"/>
      <c r="FX104" s="33"/>
      <c r="GH104" s="33"/>
      <c r="GR104" s="33"/>
      <c r="HB104" s="33"/>
      <c r="HL104" s="33"/>
      <c r="HV104" s="33"/>
      <c r="IF104" s="33"/>
      <c r="IP104" s="33"/>
      <c r="IZ104" s="33"/>
      <c r="JJ104" s="33"/>
      <c r="JT104" s="33"/>
      <c r="KD104" s="33"/>
      <c r="KN104" s="33"/>
      <c r="KX104" s="33"/>
      <c r="LH104" s="33"/>
      <c r="LR104" s="33"/>
      <c r="MB104" s="33"/>
      <c r="ML104" s="33"/>
      <c r="MV104" s="33"/>
      <c r="NF104" s="33"/>
      <c r="NP104" s="33"/>
      <c r="NZ104" s="33"/>
      <c r="OJ104" s="33"/>
      <c r="OT104" s="33"/>
      <c r="PD104" s="33"/>
      <c r="PN104" s="33"/>
      <c r="PX104" s="33"/>
      <c r="QH104" s="33"/>
      <c r="QR104" s="33"/>
      <c r="RB104" s="33"/>
      <c r="RL104" s="33"/>
      <c r="RV104" s="33"/>
      <c r="SF104" s="33"/>
      <c r="SP104" s="33"/>
      <c r="SZ104" s="33"/>
      <c r="TJ104" s="33"/>
      <c r="TT104" s="33"/>
      <c r="UD104" s="33"/>
      <c r="UN104" s="33"/>
      <c r="UX104" s="33"/>
      <c r="VH104" s="33"/>
      <c r="VR104" s="33"/>
      <c r="WB104" s="33"/>
      <c r="WL104" s="33"/>
      <c r="WV104" s="33"/>
      <c r="XF104" s="33"/>
      <c r="XP104" s="33"/>
      <c r="XZ104" s="33"/>
      <c r="YJ104" s="33"/>
      <c r="YT104" s="33"/>
      <c r="ZD104" s="33"/>
      <c r="ZN104" s="33"/>
      <c r="ZX104" s="33"/>
      <c r="AAH104" s="33"/>
      <c r="AAR104" s="33"/>
      <c r="ABB104" s="33"/>
      <c r="ABL104" s="33"/>
      <c r="ABV104" s="33"/>
      <c r="ACF104" s="33"/>
      <c r="ACP104" s="33"/>
      <c r="ACZ104" s="33"/>
      <c r="ADJ104" s="33"/>
      <c r="ADT104" s="33"/>
      <c r="AED104" s="33"/>
      <c r="AEN104" s="33"/>
      <c r="AEX104" s="33"/>
      <c r="AFH104" s="33"/>
      <c r="AFR104" s="33"/>
      <c r="AGB104" s="33"/>
      <c r="AGL104" s="33"/>
      <c r="AGV104" s="33"/>
      <c r="AHF104" s="33"/>
      <c r="AHP104" s="33"/>
      <c r="AHZ104" s="33"/>
      <c r="AIJ104" s="33"/>
      <c r="AIT104" s="33"/>
      <c r="AJD104" s="33"/>
      <c r="AJN104" s="33"/>
      <c r="AJX104" s="33"/>
      <c r="AKH104" s="33"/>
      <c r="AKR104" s="33"/>
      <c r="ALB104" s="33"/>
      <c r="ALL104" s="33"/>
      <c r="ALV104" s="33"/>
      <c r="AMF104" s="33"/>
      <c r="AMP104" s="33"/>
      <c r="AMZ104" s="33"/>
      <c r="ANJ104" s="33"/>
      <c r="ANT104" s="33"/>
      <c r="AOD104" s="33"/>
      <c r="AON104" s="33"/>
      <c r="AOX104" s="33"/>
      <c r="APH104" s="33"/>
      <c r="APR104" s="33"/>
      <c r="AQB104" s="33"/>
      <c r="AQL104" s="33"/>
      <c r="AQV104" s="33"/>
      <c r="ARF104" s="33"/>
      <c r="ARP104" s="33"/>
      <c r="ARZ104" s="33"/>
      <c r="ASJ104" s="33"/>
      <c r="AST104" s="33"/>
      <c r="ATD104" s="33"/>
      <c r="ATN104" s="33"/>
      <c r="ATX104" s="33"/>
      <c r="AUH104" s="33"/>
      <c r="AUR104" s="33"/>
      <c r="AVB104" s="33"/>
      <c r="AVL104" s="33"/>
      <c r="AVV104" s="33"/>
      <c r="AWF104" s="33"/>
      <c r="AWP104" s="33"/>
      <c r="AWZ104" s="33"/>
      <c r="AXJ104" s="33"/>
      <c r="AXT104" s="33"/>
      <c r="AYD104" s="33"/>
      <c r="AYN104" s="33"/>
      <c r="AYX104" s="33"/>
      <c r="AZH104" s="33"/>
      <c r="AZR104" s="33"/>
      <c r="BAB104" s="33"/>
      <c r="BAL104" s="33"/>
      <c r="BAV104" s="33"/>
      <c r="BBF104" s="33"/>
      <c r="BBP104" s="33"/>
      <c r="BBZ104" s="33"/>
      <c r="BCJ104" s="33"/>
      <c r="BCT104" s="33"/>
      <c r="BDD104" s="33"/>
      <c r="BDN104" s="33"/>
      <c r="BDX104" s="33"/>
      <c r="BEH104" s="33"/>
      <c r="BER104" s="33"/>
      <c r="BFB104" s="33"/>
      <c r="BFL104" s="33"/>
      <c r="BFV104" s="33"/>
      <c r="BGF104" s="33"/>
      <c r="BGP104" s="33"/>
      <c r="BGZ104" s="33"/>
      <c r="BHJ104" s="33"/>
      <c r="BHT104" s="33"/>
      <c r="BID104" s="33"/>
      <c r="BIN104" s="33"/>
      <c r="BIX104" s="33"/>
      <c r="BJH104" s="33"/>
      <c r="BJR104" s="33"/>
      <c r="BKB104" s="33"/>
      <c r="BKL104" s="33"/>
      <c r="BKV104" s="33"/>
      <c r="BLF104" s="33"/>
      <c r="BLP104" s="33"/>
      <c r="BLZ104" s="33"/>
      <c r="BMJ104" s="33"/>
      <c r="BMT104" s="33"/>
      <c r="BND104" s="33"/>
      <c r="BNN104" s="33"/>
      <c r="BNX104" s="33"/>
      <c r="BOH104" s="33"/>
      <c r="BOR104" s="33"/>
      <c r="BPB104" s="33"/>
      <c r="BPL104" s="33"/>
      <c r="BPV104" s="33"/>
      <c r="BQF104" s="33"/>
      <c r="BQP104" s="33"/>
      <c r="BQZ104" s="33"/>
      <c r="BRJ104" s="33"/>
      <c r="BRT104" s="33"/>
      <c r="BSD104" s="33"/>
      <c r="BSN104" s="33"/>
      <c r="BSX104" s="33"/>
      <c r="BTH104" s="33"/>
      <c r="BTR104" s="33"/>
      <c r="BUB104" s="33"/>
      <c r="BUL104" s="33"/>
      <c r="BUV104" s="33"/>
      <c r="BVF104" s="33"/>
      <c r="BVP104" s="33"/>
      <c r="BVZ104" s="33"/>
      <c r="BWJ104" s="33"/>
      <c r="BWT104" s="33"/>
      <c r="BXD104" s="33"/>
      <c r="BXN104" s="33"/>
      <c r="BXX104" s="33"/>
      <c r="BYH104" s="33"/>
      <c r="BYR104" s="33"/>
      <c r="BZB104" s="33"/>
      <c r="BZL104" s="33"/>
      <c r="BZV104" s="33"/>
      <c r="CAF104" s="33"/>
      <c r="CAP104" s="33"/>
      <c r="CAZ104" s="33"/>
      <c r="CBJ104" s="33"/>
      <c r="CBT104" s="33"/>
      <c r="CCD104" s="33"/>
      <c r="CCN104" s="33"/>
      <c r="CCX104" s="33"/>
      <c r="CDH104" s="33"/>
      <c r="CDR104" s="33"/>
      <c r="CEB104" s="33"/>
      <c r="CEL104" s="33"/>
      <c r="CEV104" s="33"/>
      <c r="CFF104" s="33"/>
      <c r="CFP104" s="33"/>
      <c r="CFZ104" s="33"/>
      <c r="CGJ104" s="33"/>
      <c r="CGT104" s="33"/>
      <c r="CHD104" s="33"/>
      <c r="CHN104" s="33"/>
      <c r="CHX104" s="33"/>
      <c r="CIH104" s="33"/>
      <c r="CIR104" s="33"/>
      <c r="CJB104" s="33"/>
      <c r="CJL104" s="33"/>
      <c r="CJV104" s="33"/>
      <c r="CKF104" s="33"/>
      <c r="CKP104" s="33"/>
      <c r="CKZ104" s="33"/>
      <c r="CLJ104" s="33"/>
      <c r="CLT104" s="33"/>
      <c r="CMD104" s="33"/>
      <c r="CMN104" s="33"/>
      <c r="CMX104" s="33"/>
      <c r="CNH104" s="33"/>
      <c r="CNR104" s="33"/>
      <c r="COB104" s="33"/>
      <c r="COL104" s="33"/>
      <c r="COV104" s="33"/>
      <c r="CPF104" s="33"/>
      <c r="CPP104" s="33"/>
      <c r="CPZ104" s="33"/>
      <c r="CQJ104" s="33"/>
      <c r="CQT104" s="33"/>
      <c r="CRD104" s="33"/>
      <c r="CRN104" s="33"/>
      <c r="CRX104" s="33"/>
      <c r="CSH104" s="33"/>
      <c r="CSR104" s="33"/>
      <c r="CTB104" s="33"/>
      <c r="CTL104" s="33"/>
      <c r="CTV104" s="33"/>
    </row>
    <row r="105" s="16" customFormat="1" customHeight="1" spans="1:1020 1030:2040 2050:2570">
      <c r="A105" s="57"/>
      <c r="B105" s="52"/>
      <c r="C105" s="52"/>
      <c r="D105" s="52"/>
      <c r="E105" s="52"/>
      <c r="F105" s="58" t="str">
        <f>IFERROR(VLOOKUP(E105,日报!E:G,2,0),"")</f>
        <v/>
      </c>
      <c r="G105" s="52"/>
      <c r="H105" s="53" t="str">
        <f>IFERROR(VLOOKUP(E105,基础数据!$E$4:$H$4,4,0),"")</f>
        <v/>
      </c>
      <c r="I105" s="53" t="str">
        <f>IFERROR(VLOOKUP(E105,基础数据!$E$4:$H$4,3,0),"")</f>
        <v/>
      </c>
      <c r="J105" s="52"/>
      <c r="K105" s="54" t="str">
        <f t="shared" si="1"/>
        <v/>
      </c>
      <c r="T105" s="33"/>
      <c r="AD105" s="33"/>
      <c r="AN105" s="33"/>
      <c r="AX105" s="33"/>
      <c r="BH105" s="33"/>
      <c r="BR105" s="33"/>
      <c r="CB105" s="33"/>
      <c r="CL105" s="33"/>
      <c r="CV105" s="33"/>
      <c r="DF105" s="33"/>
      <c r="DP105" s="33"/>
      <c r="DZ105" s="33"/>
      <c r="EJ105" s="33"/>
      <c r="ET105" s="33"/>
      <c r="FD105" s="33"/>
      <c r="FN105" s="33"/>
      <c r="FX105" s="33"/>
      <c r="GH105" s="33"/>
      <c r="GR105" s="33"/>
      <c r="HB105" s="33"/>
      <c r="HL105" s="33"/>
      <c r="HV105" s="33"/>
      <c r="IF105" s="33"/>
      <c r="IP105" s="33"/>
      <c r="IZ105" s="33"/>
      <c r="JJ105" s="33"/>
      <c r="JT105" s="33"/>
      <c r="KD105" s="33"/>
      <c r="KN105" s="33"/>
      <c r="KX105" s="33"/>
      <c r="LH105" s="33"/>
      <c r="LR105" s="33"/>
      <c r="MB105" s="33"/>
      <c r="ML105" s="33"/>
      <c r="MV105" s="33"/>
      <c r="NF105" s="33"/>
      <c r="NP105" s="33"/>
      <c r="NZ105" s="33"/>
      <c r="OJ105" s="33"/>
      <c r="OT105" s="33"/>
      <c r="PD105" s="33"/>
      <c r="PN105" s="33"/>
      <c r="PX105" s="33"/>
      <c r="QH105" s="33"/>
      <c r="QR105" s="33"/>
      <c r="RB105" s="33"/>
      <c r="RL105" s="33"/>
      <c r="RV105" s="33"/>
      <c r="SF105" s="33"/>
      <c r="SP105" s="33"/>
      <c r="SZ105" s="33"/>
      <c r="TJ105" s="33"/>
      <c r="TT105" s="33"/>
      <c r="UD105" s="33"/>
      <c r="UN105" s="33"/>
      <c r="UX105" s="33"/>
      <c r="VH105" s="33"/>
      <c r="VR105" s="33"/>
      <c r="WB105" s="33"/>
      <c r="WL105" s="33"/>
      <c r="WV105" s="33"/>
      <c r="XF105" s="33"/>
      <c r="XP105" s="33"/>
      <c r="XZ105" s="33"/>
      <c r="YJ105" s="33"/>
      <c r="YT105" s="33"/>
      <c r="ZD105" s="33"/>
      <c r="ZN105" s="33"/>
      <c r="ZX105" s="33"/>
      <c r="AAH105" s="33"/>
      <c r="AAR105" s="33"/>
      <c r="ABB105" s="33"/>
      <c r="ABL105" s="33"/>
      <c r="ABV105" s="33"/>
      <c r="ACF105" s="33"/>
      <c r="ACP105" s="33"/>
      <c r="ACZ105" s="33"/>
      <c r="ADJ105" s="33"/>
      <c r="ADT105" s="33"/>
      <c r="AED105" s="33"/>
      <c r="AEN105" s="33"/>
      <c r="AEX105" s="33"/>
      <c r="AFH105" s="33"/>
      <c r="AFR105" s="33"/>
      <c r="AGB105" s="33"/>
      <c r="AGL105" s="33"/>
      <c r="AGV105" s="33"/>
      <c r="AHF105" s="33"/>
      <c r="AHP105" s="33"/>
      <c r="AHZ105" s="33"/>
      <c r="AIJ105" s="33"/>
      <c r="AIT105" s="33"/>
      <c r="AJD105" s="33"/>
      <c r="AJN105" s="33"/>
      <c r="AJX105" s="33"/>
      <c r="AKH105" s="33"/>
      <c r="AKR105" s="33"/>
      <c r="ALB105" s="33"/>
      <c r="ALL105" s="33"/>
      <c r="ALV105" s="33"/>
      <c r="AMF105" s="33"/>
      <c r="AMP105" s="33"/>
      <c r="AMZ105" s="33"/>
      <c r="ANJ105" s="33"/>
      <c r="ANT105" s="33"/>
      <c r="AOD105" s="33"/>
      <c r="AON105" s="33"/>
      <c r="AOX105" s="33"/>
      <c r="APH105" s="33"/>
      <c r="APR105" s="33"/>
      <c r="AQB105" s="33"/>
      <c r="AQL105" s="33"/>
      <c r="AQV105" s="33"/>
      <c r="ARF105" s="33"/>
      <c r="ARP105" s="33"/>
      <c r="ARZ105" s="33"/>
      <c r="ASJ105" s="33"/>
      <c r="AST105" s="33"/>
      <c r="ATD105" s="33"/>
      <c r="ATN105" s="33"/>
      <c r="ATX105" s="33"/>
      <c r="AUH105" s="33"/>
      <c r="AUR105" s="33"/>
      <c r="AVB105" s="33"/>
      <c r="AVL105" s="33"/>
      <c r="AVV105" s="33"/>
      <c r="AWF105" s="33"/>
      <c r="AWP105" s="33"/>
      <c r="AWZ105" s="33"/>
      <c r="AXJ105" s="33"/>
      <c r="AXT105" s="33"/>
      <c r="AYD105" s="33"/>
      <c r="AYN105" s="33"/>
      <c r="AYX105" s="33"/>
      <c r="AZH105" s="33"/>
      <c r="AZR105" s="33"/>
      <c r="BAB105" s="33"/>
      <c r="BAL105" s="33"/>
      <c r="BAV105" s="33"/>
      <c r="BBF105" s="33"/>
      <c r="BBP105" s="33"/>
      <c r="BBZ105" s="33"/>
      <c r="BCJ105" s="33"/>
      <c r="BCT105" s="33"/>
      <c r="BDD105" s="33"/>
      <c r="BDN105" s="33"/>
      <c r="BDX105" s="33"/>
      <c r="BEH105" s="33"/>
      <c r="BER105" s="33"/>
      <c r="BFB105" s="33"/>
      <c r="BFL105" s="33"/>
      <c r="BFV105" s="33"/>
      <c r="BGF105" s="33"/>
      <c r="BGP105" s="33"/>
      <c r="BGZ105" s="33"/>
      <c r="BHJ105" s="33"/>
      <c r="BHT105" s="33"/>
      <c r="BID105" s="33"/>
      <c r="BIN105" s="33"/>
      <c r="BIX105" s="33"/>
      <c r="BJH105" s="33"/>
      <c r="BJR105" s="33"/>
      <c r="BKB105" s="33"/>
      <c r="BKL105" s="33"/>
      <c r="BKV105" s="33"/>
      <c r="BLF105" s="33"/>
      <c r="BLP105" s="33"/>
      <c r="BLZ105" s="33"/>
      <c r="BMJ105" s="33"/>
      <c r="BMT105" s="33"/>
      <c r="BND105" s="33"/>
      <c r="BNN105" s="33"/>
      <c r="BNX105" s="33"/>
      <c r="BOH105" s="33"/>
      <c r="BOR105" s="33"/>
      <c r="BPB105" s="33"/>
      <c r="BPL105" s="33"/>
      <c r="BPV105" s="33"/>
      <c r="BQF105" s="33"/>
      <c r="BQP105" s="33"/>
      <c r="BQZ105" s="33"/>
      <c r="BRJ105" s="33"/>
      <c r="BRT105" s="33"/>
      <c r="BSD105" s="33"/>
      <c r="BSN105" s="33"/>
      <c r="BSX105" s="33"/>
      <c r="BTH105" s="33"/>
      <c r="BTR105" s="33"/>
      <c r="BUB105" s="33"/>
      <c r="BUL105" s="33"/>
      <c r="BUV105" s="33"/>
      <c r="BVF105" s="33"/>
      <c r="BVP105" s="33"/>
      <c r="BVZ105" s="33"/>
      <c r="BWJ105" s="33"/>
      <c r="BWT105" s="33"/>
      <c r="BXD105" s="33"/>
      <c r="BXN105" s="33"/>
      <c r="BXX105" s="33"/>
      <c r="BYH105" s="33"/>
      <c r="BYR105" s="33"/>
      <c r="BZB105" s="33"/>
      <c r="BZL105" s="33"/>
      <c r="BZV105" s="33"/>
      <c r="CAF105" s="33"/>
      <c r="CAP105" s="33"/>
      <c r="CAZ105" s="33"/>
      <c r="CBJ105" s="33"/>
      <c r="CBT105" s="33"/>
      <c r="CCD105" s="33"/>
      <c r="CCN105" s="33"/>
      <c r="CCX105" s="33"/>
      <c r="CDH105" s="33"/>
      <c r="CDR105" s="33"/>
      <c r="CEB105" s="33"/>
      <c r="CEL105" s="33"/>
      <c r="CEV105" s="33"/>
      <c r="CFF105" s="33"/>
      <c r="CFP105" s="33"/>
      <c r="CFZ105" s="33"/>
      <c r="CGJ105" s="33"/>
      <c r="CGT105" s="33"/>
      <c r="CHD105" s="33"/>
      <c r="CHN105" s="33"/>
      <c r="CHX105" s="33"/>
      <c r="CIH105" s="33"/>
      <c r="CIR105" s="33"/>
      <c r="CJB105" s="33"/>
      <c r="CJL105" s="33"/>
      <c r="CJV105" s="33"/>
      <c r="CKF105" s="33"/>
      <c r="CKP105" s="33"/>
      <c r="CKZ105" s="33"/>
      <c r="CLJ105" s="33"/>
      <c r="CLT105" s="33"/>
      <c r="CMD105" s="33"/>
      <c r="CMN105" s="33"/>
      <c r="CMX105" s="33"/>
      <c r="CNH105" s="33"/>
      <c r="CNR105" s="33"/>
      <c r="COB105" s="33"/>
      <c r="COL105" s="33"/>
      <c r="COV105" s="33"/>
      <c r="CPF105" s="33"/>
      <c r="CPP105" s="33"/>
      <c r="CPZ105" s="33"/>
      <c r="CQJ105" s="33"/>
      <c r="CQT105" s="33"/>
      <c r="CRD105" s="33"/>
      <c r="CRN105" s="33"/>
      <c r="CRX105" s="33"/>
      <c r="CSH105" s="33"/>
      <c r="CSR105" s="33"/>
      <c r="CTB105" s="33"/>
      <c r="CTL105" s="33"/>
      <c r="CTV105" s="33"/>
    </row>
    <row r="106" s="16" customFormat="1" customHeight="1" spans="1:1020 1030:2040 2050:2570">
      <c r="A106" s="57"/>
      <c r="B106" s="52"/>
      <c r="C106" s="52"/>
      <c r="D106" s="52"/>
      <c r="E106" s="52"/>
      <c r="F106" s="58" t="str">
        <f>IFERROR(VLOOKUP(E106,日报!E:G,2,0),"")</f>
        <v/>
      </c>
      <c r="G106" s="52"/>
      <c r="H106" s="53" t="str">
        <f>IFERROR(VLOOKUP(E106,基础数据!$E$4:$H$4,4,0),"")</f>
        <v/>
      </c>
      <c r="I106" s="53" t="str">
        <f>IFERROR(VLOOKUP(E106,基础数据!$E$4:$H$4,3,0),"")</f>
        <v/>
      </c>
      <c r="J106" s="52"/>
      <c r="K106" s="54" t="str">
        <f t="shared" si="1"/>
        <v/>
      </c>
      <c r="T106" s="33"/>
      <c r="AD106" s="33"/>
      <c r="AN106" s="33"/>
      <c r="AX106" s="33"/>
      <c r="BH106" s="33"/>
      <c r="BR106" s="33"/>
      <c r="CB106" s="33"/>
      <c r="CL106" s="33"/>
      <c r="CV106" s="33"/>
      <c r="DF106" s="33"/>
      <c r="DP106" s="33"/>
      <c r="DZ106" s="33"/>
      <c r="EJ106" s="33"/>
      <c r="ET106" s="33"/>
      <c r="FD106" s="33"/>
      <c r="FN106" s="33"/>
      <c r="FX106" s="33"/>
      <c r="GH106" s="33"/>
      <c r="GR106" s="33"/>
      <c r="HB106" s="33"/>
      <c r="HL106" s="33"/>
      <c r="HV106" s="33"/>
      <c r="IF106" s="33"/>
      <c r="IP106" s="33"/>
      <c r="IZ106" s="33"/>
      <c r="JJ106" s="33"/>
      <c r="JT106" s="33"/>
      <c r="KD106" s="33"/>
      <c r="KN106" s="33"/>
      <c r="KX106" s="33"/>
      <c r="LH106" s="33"/>
      <c r="LR106" s="33"/>
      <c r="MB106" s="33"/>
      <c r="ML106" s="33"/>
      <c r="MV106" s="33"/>
      <c r="NF106" s="33"/>
      <c r="NP106" s="33"/>
      <c r="NZ106" s="33"/>
      <c r="OJ106" s="33"/>
      <c r="OT106" s="33"/>
      <c r="PD106" s="33"/>
      <c r="PN106" s="33"/>
      <c r="PX106" s="33"/>
      <c r="QH106" s="33"/>
      <c r="QR106" s="33"/>
      <c r="RB106" s="33"/>
      <c r="RL106" s="33"/>
      <c r="RV106" s="33"/>
      <c r="SF106" s="33"/>
      <c r="SP106" s="33"/>
      <c r="SZ106" s="33"/>
      <c r="TJ106" s="33"/>
      <c r="TT106" s="33"/>
      <c r="UD106" s="33"/>
      <c r="UN106" s="33"/>
      <c r="UX106" s="33"/>
      <c r="VH106" s="33"/>
      <c r="VR106" s="33"/>
      <c r="WB106" s="33"/>
      <c r="WL106" s="33"/>
      <c r="WV106" s="33"/>
      <c r="XF106" s="33"/>
      <c r="XP106" s="33"/>
      <c r="XZ106" s="33"/>
      <c r="YJ106" s="33"/>
      <c r="YT106" s="33"/>
      <c r="ZD106" s="33"/>
      <c r="ZN106" s="33"/>
      <c r="ZX106" s="33"/>
      <c r="AAH106" s="33"/>
      <c r="AAR106" s="33"/>
      <c r="ABB106" s="33"/>
      <c r="ABL106" s="33"/>
      <c r="ABV106" s="33"/>
      <c r="ACF106" s="33"/>
      <c r="ACP106" s="33"/>
      <c r="ACZ106" s="33"/>
      <c r="ADJ106" s="33"/>
      <c r="ADT106" s="33"/>
      <c r="AED106" s="33"/>
      <c r="AEN106" s="33"/>
      <c r="AEX106" s="33"/>
      <c r="AFH106" s="33"/>
      <c r="AFR106" s="33"/>
      <c r="AGB106" s="33"/>
      <c r="AGL106" s="33"/>
      <c r="AGV106" s="33"/>
      <c r="AHF106" s="33"/>
      <c r="AHP106" s="33"/>
      <c r="AHZ106" s="33"/>
      <c r="AIJ106" s="33"/>
      <c r="AIT106" s="33"/>
      <c r="AJD106" s="33"/>
      <c r="AJN106" s="33"/>
      <c r="AJX106" s="33"/>
      <c r="AKH106" s="33"/>
      <c r="AKR106" s="33"/>
      <c r="ALB106" s="33"/>
      <c r="ALL106" s="33"/>
      <c r="ALV106" s="33"/>
      <c r="AMF106" s="33"/>
      <c r="AMP106" s="33"/>
      <c r="AMZ106" s="33"/>
      <c r="ANJ106" s="33"/>
      <c r="ANT106" s="33"/>
      <c r="AOD106" s="33"/>
      <c r="AON106" s="33"/>
      <c r="AOX106" s="33"/>
      <c r="APH106" s="33"/>
      <c r="APR106" s="33"/>
      <c r="AQB106" s="33"/>
      <c r="AQL106" s="33"/>
      <c r="AQV106" s="33"/>
      <c r="ARF106" s="33"/>
      <c r="ARP106" s="33"/>
      <c r="ARZ106" s="33"/>
      <c r="ASJ106" s="33"/>
      <c r="AST106" s="33"/>
      <c r="ATD106" s="33"/>
      <c r="ATN106" s="33"/>
      <c r="ATX106" s="33"/>
      <c r="AUH106" s="33"/>
      <c r="AUR106" s="33"/>
      <c r="AVB106" s="33"/>
      <c r="AVL106" s="33"/>
      <c r="AVV106" s="33"/>
      <c r="AWF106" s="33"/>
      <c r="AWP106" s="33"/>
      <c r="AWZ106" s="33"/>
      <c r="AXJ106" s="33"/>
      <c r="AXT106" s="33"/>
      <c r="AYD106" s="33"/>
      <c r="AYN106" s="33"/>
      <c r="AYX106" s="33"/>
      <c r="AZH106" s="33"/>
      <c r="AZR106" s="33"/>
      <c r="BAB106" s="33"/>
      <c r="BAL106" s="33"/>
      <c r="BAV106" s="33"/>
      <c r="BBF106" s="33"/>
      <c r="BBP106" s="33"/>
      <c r="BBZ106" s="33"/>
      <c r="BCJ106" s="33"/>
      <c r="BCT106" s="33"/>
      <c r="BDD106" s="33"/>
      <c r="BDN106" s="33"/>
      <c r="BDX106" s="33"/>
      <c r="BEH106" s="33"/>
      <c r="BER106" s="33"/>
      <c r="BFB106" s="33"/>
      <c r="BFL106" s="33"/>
      <c r="BFV106" s="33"/>
      <c r="BGF106" s="33"/>
      <c r="BGP106" s="33"/>
      <c r="BGZ106" s="33"/>
      <c r="BHJ106" s="33"/>
      <c r="BHT106" s="33"/>
      <c r="BID106" s="33"/>
      <c r="BIN106" s="33"/>
      <c r="BIX106" s="33"/>
      <c r="BJH106" s="33"/>
      <c r="BJR106" s="33"/>
      <c r="BKB106" s="33"/>
      <c r="BKL106" s="33"/>
      <c r="BKV106" s="33"/>
      <c r="BLF106" s="33"/>
      <c r="BLP106" s="33"/>
      <c r="BLZ106" s="33"/>
      <c r="BMJ106" s="33"/>
      <c r="BMT106" s="33"/>
      <c r="BND106" s="33"/>
      <c r="BNN106" s="33"/>
      <c r="BNX106" s="33"/>
      <c r="BOH106" s="33"/>
      <c r="BOR106" s="33"/>
      <c r="BPB106" s="33"/>
      <c r="BPL106" s="33"/>
      <c r="BPV106" s="33"/>
      <c r="BQF106" s="33"/>
      <c r="BQP106" s="33"/>
      <c r="BQZ106" s="33"/>
      <c r="BRJ106" s="33"/>
      <c r="BRT106" s="33"/>
      <c r="BSD106" s="33"/>
      <c r="BSN106" s="33"/>
      <c r="BSX106" s="33"/>
      <c r="BTH106" s="33"/>
      <c r="BTR106" s="33"/>
      <c r="BUB106" s="33"/>
      <c r="BUL106" s="33"/>
      <c r="BUV106" s="33"/>
      <c r="BVF106" s="33"/>
      <c r="BVP106" s="33"/>
      <c r="BVZ106" s="33"/>
      <c r="BWJ106" s="33"/>
      <c r="BWT106" s="33"/>
      <c r="BXD106" s="33"/>
      <c r="BXN106" s="33"/>
      <c r="BXX106" s="33"/>
      <c r="BYH106" s="33"/>
      <c r="BYR106" s="33"/>
      <c r="BZB106" s="33"/>
      <c r="BZL106" s="33"/>
      <c r="BZV106" s="33"/>
      <c r="CAF106" s="33"/>
      <c r="CAP106" s="33"/>
      <c r="CAZ106" s="33"/>
      <c r="CBJ106" s="33"/>
      <c r="CBT106" s="33"/>
      <c r="CCD106" s="33"/>
      <c r="CCN106" s="33"/>
      <c r="CCX106" s="33"/>
      <c r="CDH106" s="33"/>
      <c r="CDR106" s="33"/>
      <c r="CEB106" s="33"/>
      <c r="CEL106" s="33"/>
      <c r="CEV106" s="33"/>
      <c r="CFF106" s="33"/>
      <c r="CFP106" s="33"/>
      <c r="CFZ106" s="33"/>
      <c r="CGJ106" s="33"/>
      <c r="CGT106" s="33"/>
      <c r="CHD106" s="33"/>
      <c r="CHN106" s="33"/>
      <c r="CHX106" s="33"/>
      <c r="CIH106" s="33"/>
      <c r="CIR106" s="33"/>
      <c r="CJB106" s="33"/>
      <c r="CJL106" s="33"/>
      <c r="CJV106" s="33"/>
      <c r="CKF106" s="33"/>
      <c r="CKP106" s="33"/>
      <c r="CKZ106" s="33"/>
      <c r="CLJ106" s="33"/>
      <c r="CLT106" s="33"/>
      <c r="CMD106" s="33"/>
      <c r="CMN106" s="33"/>
      <c r="CMX106" s="33"/>
      <c r="CNH106" s="33"/>
      <c r="CNR106" s="33"/>
      <c r="COB106" s="33"/>
      <c r="COL106" s="33"/>
      <c r="COV106" s="33"/>
      <c r="CPF106" s="33"/>
      <c r="CPP106" s="33"/>
      <c r="CPZ106" s="33"/>
      <c r="CQJ106" s="33"/>
      <c r="CQT106" s="33"/>
      <c r="CRD106" s="33"/>
      <c r="CRN106" s="33"/>
      <c r="CRX106" s="33"/>
      <c r="CSH106" s="33"/>
      <c r="CSR106" s="33"/>
      <c r="CTB106" s="33"/>
      <c r="CTL106" s="33"/>
      <c r="CTV106" s="33"/>
    </row>
    <row r="107" s="16" customFormat="1" customHeight="1" spans="1:1020 1030:2040 2050:2570">
      <c r="A107" s="57"/>
      <c r="B107" s="52"/>
      <c r="C107" s="52"/>
      <c r="D107" s="52"/>
      <c r="E107" s="52"/>
      <c r="F107" s="58" t="str">
        <f>IFERROR(VLOOKUP(E107,日报!E:G,2,0),"")</f>
        <v/>
      </c>
      <c r="G107" s="52"/>
      <c r="H107" s="53" t="str">
        <f>IFERROR(VLOOKUP(E107,基础数据!$E$4:$H$4,4,0),"")</f>
        <v/>
      </c>
      <c r="I107" s="53" t="str">
        <f>IFERROR(VLOOKUP(E107,基础数据!$E$4:$H$4,3,0),"")</f>
        <v/>
      </c>
      <c r="J107" s="52"/>
      <c r="K107" s="54" t="str">
        <f t="shared" si="1"/>
        <v/>
      </c>
      <c r="T107" s="33"/>
      <c r="AD107" s="33"/>
      <c r="AN107" s="33"/>
      <c r="AX107" s="33"/>
      <c r="BH107" s="33"/>
      <c r="BR107" s="33"/>
      <c r="CB107" s="33"/>
      <c r="CL107" s="33"/>
      <c r="CV107" s="33"/>
      <c r="DF107" s="33"/>
      <c r="DP107" s="33"/>
      <c r="DZ107" s="33"/>
      <c r="EJ107" s="33"/>
      <c r="ET107" s="33"/>
      <c r="FD107" s="33"/>
      <c r="FN107" s="33"/>
      <c r="FX107" s="33"/>
      <c r="GH107" s="33"/>
      <c r="GR107" s="33"/>
      <c r="HB107" s="33"/>
      <c r="HL107" s="33"/>
      <c r="HV107" s="33"/>
      <c r="IF107" s="33"/>
      <c r="IP107" s="33"/>
      <c r="IZ107" s="33"/>
      <c r="JJ107" s="33"/>
      <c r="JT107" s="33"/>
      <c r="KD107" s="33"/>
      <c r="KN107" s="33"/>
      <c r="KX107" s="33"/>
      <c r="LH107" s="33"/>
      <c r="LR107" s="33"/>
      <c r="MB107" s="33"/>
      <c r="ML107" s="33"/>
      <c r="MV107" s="33"/>
      <c r="NF107" s="33"/>
      <c r="NP107" s="33"/>
      <c r="NZ107" s="33"/>
      <c r="OJ107" s="33"/>
      <c r="OT107" s="33"/>
      <c r="PD107" s="33"/>
      <c r="PN107" s="33"/>
      <c r="PX107" s="33"/>
      <c r="QH107" s="33"/>
      <c r="QR107" s="33"/>
      <c r="RB107" s="33"/>
      <c r="RL107" s="33"/>
      <c r="RV107" s="33"/>
      <c r="SF107" s="33"/>
      <c r="SP107" s="33"/>
      <c r="SZ107" s="33"/>
      <c r="TJ107" s="33"/>
      <c r="TT107" s="33"/>
      <c r="UD107" s="33"/>
      <c r="UN107" s="33"/>
      <c r="UX107" s="33"/>
      <c r="VH107" s="33"/>
      <c r="VR107" s="33"/>
      <c r="WB107" s="33"/>
      <c r="WL107" s="33"/>
      <c r="WV107" s="33"/>
      <c r="XF107" s="33"/>
      <c r="XP107" s="33"/>
      <c r="XZ107" s="33"/>
      <c r="YJ107" s="33"/>
      <c r="YT107" s="33"/>
      <c r="ZD107" s="33"/>
      <c r="ZN107" s="33"/>
      <c r="ZX107" s="33"/>
      <c r="AAH107" s="33"/>
      <c r="AAR107" s="33"/>
      <c r="ABB107" s="33"/>
      <c r="ABL107" s="33"/>
      <c r="ABV107" s="33"/>
      <c r="ACF107" s="33"/>
      <c r="ACP107" s="33"/>
      <c r="ACZ107" s="33"/>
      <c r="ADJ107" s="33"/>
      <c r="ADT107" s="33"/>
      <c r="AED107" s="33"/>
      <c r="AEN107" s="33"/>
      <c r="AEX107" s="33"/>
      <c r="AFH107" s="33"/>
      <c r="AFR107" s="33"/>
      <c r="AGB107" s="33"/>
      <c r="AGL107" s="33"/>
      <c r="AGV107" s="33"/>
      <c r="AHF107" s="33"/>
      <c r="AHP107" s="33"/>
      <c r="AHZ107" s="33"/>
      <c r="AIJ107" s="33"/>
      <c r="AIT107" s="33"/>
      <c r="AJD107" s="33"/>
      <c r="AJN107" s="33"/>
      <c r="AJX107" s="33"/>
      <c r="AKH107" s="33"/>
      <c r="AKR107" s="33"/>
      <c r="ALB107" s="33"/>
      <c r="ALL107" s="33"/>
      <c r="ALV107" s="33"/>
      <c r="AMF107" s="33"/>
      <c r="AMP107" s="33"/>
      <c r="AMZ107" s="33"/>
      <c r="ANJ107" s="33"/>
      <c r="ANT107" s="33"/>
      <c r="AOD107" s="33"/>
      <c r="AON107" s="33"/>
      <c r="AOX107" s="33"/>
      <c r="APH107" s="33"/>
      <c r="APR107" s="33"/>
      <c r="AQB107" s="33"/>
      <c r="AQL107" s="33"/>
      <c r="AQV107" s="33"/>
      <c r="ARF107" s="33"/>
      <c r="ARP107" s="33"/>
      <c r="ARZ107" s="33"/>
      <c r="ASJ107" s="33"/>
      <c r="AST107" s="33"/>
      <c r="ATD107" s="33"/>
      <c r="ATN107" s="33"/>
      <c r="ATX107" s="33"/>
      <c r="AUH107" s="33"/>
      <c r="AUR107" s="33"/>
      <c r="AVB107" s="33"/>
      <c r="AVL107" s="33"/>
      <c r="AVV107" s="33"/>
      <c r="AWF107" s="33"/>
      <c r="AWP107" s="33"/>
      <c r="AWZ107" s="33"/>
      <c r="AXJ107" s="33"/>
      <c r="AXT107" s="33"/>
      <c r="AYD107" s="33"/>
      <c r="AYN107" s="33"/>
      <c r="AYX107" s="33"/>
      <c r="AZH107" s="33"/>
      <c r="AZR107" s="33"/>
      <c r="BAB107" s="33"/>
      <c r="BAL107" s="33"/>
      <c r="BAV107" s="33"/>
      <c r="BBF107" s="33"/>
      <c r="BBP107" s="33"/>
      <c r="BBZ107" s="33"/>
      <c r="BCJ107" s="33"/>
      <c r="BCT107" s="33"/>
      <c r="BDD107" s="33"/>
      <c r="BDN107" s="33"/>
      <c r="BDX107" s="33"/>
      <c r="BEH107" s="33"/>
      <c r="BER107" s="33"/>
      <c r="BFB107" s="33"/>
      <c r="BFL107" s="33"/>
      <c r="BFV107" s="33"/>
      <c r="BGF107" s="33"/>
      <c r="BGP107" s="33"/>
      <c r="BGZ107" s="33"/>
      <c r="BHJ107" s="33"/>
      <c r="BHT107" s="33"/>
      <c r="BID107" s="33"/>
      <c r="BIN107" s="33"/>
      <c r="BIX107" s="33"/>
      <c r="BJH107" s="33"/>
      <c r="BJR107" s="33"/>
      <c r="BKB107" s="33"/>
      <c r="BKL107" s="33"/>
      <c r="BKV107" s="33"/>
      <c r="BLF107" s="33"/>
      <c r="BLP107" s="33"/>
      <c r="BLZ107" s="33"/>
      <c r="BMJ107" s="33"/>
      <c r="BMT107" s="33"/>
      <c r="BND107" s="33"/>
      <c r="BNN107" s="33"/>
      <c r="BNX107" s="33"/>
      <c r="BOH107" s="33"/>
      <c r="BOR107" s="33"/>
      <c r="BPB107" s="33"/>
      <c r="BPL107" s="33"/>
      <c r="BPV107" s="33"/>
      <c r="BQF107" s="33"/>
      <c r="BQP107" s="33"/>
      <c r="BQZ107" s="33"/>
      <c r="BRJ107" s="33"/>
      <c r="BRT107" s="33"/>
      <c r="BSD107" s="33"/>
      <c r="BSN107" s="33"/>
      <c r="BSX107" s="33"/>
      <c r="BTH107" s="33"/>
      <c r="BTR107" s="33"/>
      <c r="BUB107" s="33"/>
      <c r="BUL107" s="33"/>
      <c r="BUV107" s="33"/>
      <c r="BVF107" s="33"/>
      <c r="BVP107" s="33"/>
      <c r="BVZ107" s="33"/>
      <c r="BWJ107" s="33"/>
      <c r="BWT107" s="33"/>
      <c r="BXD107" s="33"/>
      <c r="BXN107" s="33"/>
      <c r="BXX107" s="33"/>
      <c r="BYH107" s="33"/>
      <c r="BYR107" s="33"/>
      <c r="BZB107" s="33"/>
      <c r="BZL107" s="33"/>
      <c r="BZV107" s="33"/>
      <c r="CAF107" s="33"/>
      <c r="CAP107" s="33"/>
      <c r="CAZ107" s="33"/>
      <c r="CBJ107" s="33"/>
      <c r="CBT107" s="33"/>
      <c r="CCD107" s="33"/>
      <c r="CCN107" s="33"/>
      <c r="CCX107" s="33"/>
      <c r="CDH107" s="33"/>
      <c r="CDR107" s="33"/>
      <c r="CEB107" s="33"/>
      <c r="CEL107" s="33"/>
      <c r="CEV107" s="33"/>
      <c r="CFF107" s="33"/>
      <c r="CFP107" s="33"/>
      <c r="CFZ107" s="33"/>
      <c r="CGJ107" s="33"/>
      <c r="CGT107" s="33"/>
      <c r="CHD107" s="33"/>
      <c r="CHN107" s="33"/>
      <c r="CHX107" s="33"/>
      <c r="CIH107" s="33"/>
      <c r="CIR107" s="33"/>
      <c r="CJB107" s="33"/>
      <c r="CJL107" s="33"/>
      <c r="CJV107" s="33"/>
      <c r="CKF107" s="33"/>
      <c r="CKP107" s="33"/>
      <c r="CKZ107" s="33"/>
      <c r="CLJ107" s="33"/>
      <c r="CLT107" s="33"/>
      <c r="CMD107" s="33"/>
      <c r="CMN107" s="33"/>
      <c r="CMX107" s="33"/>
      <c r="CNH107" s="33"/>
      <c r="CNR107" s="33"/>
      <c r="COB107" s="33"/>
      <c r="COL107" s="33"/>
      <c r="COV107" s="33"/>
      <c r="CPF107" s="33"/>
      <c r="CPP107" s="33"/>
      <c r="CPZ107" s="33"/>
      <c r="CQJ107" s="33"/>
      <c r="CQT107" s="33"/>
      <c r="CRD107" s="33"/>
      <c r="CRN107" s="33"/>
      <c r="CRX107" s="33"/>
      <c r="CSH107" s="33"/>
      <c r="CSR107" s="33"/>
      <c r="CTB107" s="33"/>
      <c r="CTL107" s="33"/>
      <c r="CTV107" s="33"/>
    </row>
    <row r="108" s="16" customFormat="1" customHeight="1" spans="1:1020 1030:2040 2050:2570">
      <c r="A108" s="57"/>
      <c r="B108" s="52"/>
      <c r="C108" s="52"/>
      <c r="D108" s="52"/>
      <c r="E108" s="52"/>
      <c r="F108" s="58" t="str">
        <f>IFERROR(VLOOKUP(E108,日报!E:G,2,0),"")</f>
        <v/>
      </c>
      <c r="G108" s="52"/>
      <c r="H108" s="53" t="str">
        <f>IFERROR(VLOOKUP(E108,基础数据!$E$4:$H$4,4,0),"")</f>
        <v/>
      </c>
      <c r="I108" s="53" t="str">
        <f>IFERROR(VLOOKUP(E108,基础数据!$E$4:$H$4,3,0),"")</f>
        <v/>
      </c>
      <c r="J108" s="52"/>
      <c r="K108" s="54" t="str">
        <f t="shared" si="1"/>
        <v/>
      </c>
      <c r="T108" s="33"/>
      <c r="AD108" s="33"/>
      <c r="AN108" s="33"/>
      <c r="AX108" s="33"/>
      <c r="BH108" s="33"/>
      <c r="BR108" s="33"/>
      <c r="CB108" s="33"/>
      <c r="CL108" s="33"/>
      <c r="CV108" s="33"/>
      <c r="DF108" s="33"/>
      <c r="DP108" s="33"/>
      <c r="DZ108" s="33"/>
      <c r="EJ108" s="33"/>
      <c r="ET108" s="33"/>
      <c r="FD108" s="33"/>
      <c r="FN108" s="33"/>
      <c r="FX108" s="33"/>
      <c r="GH108" s="33"/>
      <c r="GR108" s="33"/>
      <c r="HB108" s="33"/>
      <c r="HL108" s="33"/>
      <c r="HV108" s="33"/>
      <c r="IF108" s="33"/>
      <c r="IP108" s="33"/>
      <c r="IZ108" s="33"/>
      <c r="JJ108" s="33"/>
      <c r="JT108" s="33"/>
      <c r="KD108" s="33"/>
      <c r="KN108" s="33"/>
      <c r="KX108" s="33"/>
      <c r="LH108" s="33"/>
      <c r="LR108" s="33"/>
      <c r="MB108" s="33"/>
      <c r="ML108" s="33"/>
      <c r="MV108" s="33"/>
      <c r="NF108" s="33"/>
      <c r="NP108" s="33"/>
      <c r="NZ108" s="33"/>
      <c r="OJ108" s="33"/>
      <c r="OT108" s="33"/>
      <c r="PD108" s="33"/>
      <c r="PN108" s="33"/>
      <c r="PX108" s="33"/>
      <c r="QH108" s="33"/>
      <c r="QR108" s="33"/>
      <c r="RB108" s="33"/>
      <c r="RL108" s="33"/>
      <c r="RV108" s="33"/>
      <c r="SF108" s="33"/>
      <c r="SP108" s="33"/>
      <c r="SZ108" s="33"/>
      <c r="TJ108" s="33"/>
      <c r="TT108" s="33"/>
      <c r="UD108" s="33"/>
      <c r="UN108" s="33"/>
      <c r="UX108" s="33"/>
      <c r="VH108" s="33"/>
      <c r="VR108" s="33"/>
      <c r="WB108" s="33"/>
      <c r="WL108" s="33"/>
      <c r="WV108" s="33"/>
      <c r="XF108" s="33"/>
      <c r="XP108" s="33"/>
      <c r="XZ108" s="33"/>
      <c r="YJ108" s="33"/>
      <c r="YT108" s="33"/>
      <c r="ZD108" s="33"/>
      <c r="ZN108" s="33"/>
      <c r="ZX108" s="33"/>
      <c r="AAH108" s="33"/>
      <c r="AAR108" s="33"/>
      <c r="ABB108" s="33"/>
      <c r="ABL108" s="33"/>
      <c r="ABV108" s="33"/>
      <c r="ACF108" s="33"/>
      <c r="ACP108" s="33"/>
      <c r="ACZ108" s="33"/>
      <c r="ADJ108" s="33"/>
      <c r="ADT108" s="33"/>
      <c r="AED108" s="33"/>
      <c r="AEN108" s="33"/>
      <c r="AEX108" s="33"/>
      <c r="AFH108" s="33"/>
      <c r="AFR108" s="33"/>
      <c r="AGB108" s="33"/>
      <c r="AGL108" s="33"/>
      <c r="AGV108" s="33"/>
      <c r="AHF108" s="33"/>
      <c r="AHP108" s="33"/>
      <c r="AHZ108" s="33"/>
      <c r="AIJ108" s="33"/>
      <c r="AIT108" s="33"/>
      <c r="AJD108" s="33"/>
      <c r="AJN108" s="33"/>
      <c r="AJX108" s="33"/>
      <c r="AKH108" s="33"/>
      <c r="AKR108" s="33"/>
      <c r="ALB108" s="33"/>
      <c r="ALL108" s="33"/>
      <c r="ALV108" s="33"/>
      <c r="AMF108" s="33"/>
      <c r="AMP108" s="33"/>
      <c r="AMZ108" s="33"/>
      <c r="ANJ108" s="33"/>
      <c r="ANT108" s="33"/>
      <c r="AOD108" s="33"/>
      <c r="AON108" s="33"/>
      <c r="AOX108" s="33"/>
      <c r="APH108" s="33"/>
      <c r="APR108" s="33"/>
      <c r="AQB108" s="33"/>
      <c r="AQL108" s="33"/>
      <c r="AQV108" s="33"/>
      <c r="ARF108" s="33"/>
      <c r="ARP108" s="33"/>
      <c r="ARZ108" s="33"/>
      <c r="ASJ108" s="33"/>
      <c r="AST108" s="33"/>
      <c r="ATD108" s="33"/>
      <c r="ATN108" s="33"/>
      <c r="ATX108" s="33"/>
      <c r="AUH108" s="33"/>
      <c r="AUR108" s="33"/>
      <c r="AVB108" s="33"/>
      <c r="AVL108" s="33"/>
      <c r="AVV108" s="33"/>
      <c r="AWF108" s="33"/>
      <c r="AWP108" s="33"/>
      <c r="AWZ108" s="33"/>
      <c r="AXJ108" s="33"/>
      <c r="AXT108" s="33"/>
      <c r="AYD108" s="33"/>
      <c r="AYN108" s="33"/>
      <c r="AYX108" s="33"/>
      <c r="AZH108" s="33"/>
      <c r="AZR108" s="33"/>
      <c r="BAB108" s="33"/>
      <c r="BAL108" s="33"/>
      <c r="BAV108" s="33"/>
      <c r="BBF108" s="33"/>
      <c r="BBP108" s="33"/>
      <c r="BBZ108" s="33"/>
      <c r="BCJ108" s="33"/>
      <c r="BCT108" s="33"/>
      <c r="BDD108" s="33"/>
      <c r="BDN108" s="33"/>
      <c r="BDX108" s="33"/>
      <c r="BEH108" s="33"/>
      <c r="BER108" s="33"/>
      <c r="BFB108" s="33"/>
      <c r="BFL108" s="33"/>
      <c r="BFV108" s="33"/>
      <c r="BGF108" s="33"/>
      <c r="BGP108" s="33"/>
      <c r="BGZ108" s="33"/>
      <c r="BHJ108" s="33"/>
      <c r="BHT108" s="33"/>
      <c r="BID108" s="33"/>
      <c r="BIN108" s="33"/>
      <c r="BIX108" s="33"/>
      <c r="BJH108" s="33"/>
      <c r="BJR108" s="33"/>
      <c r="BKB108" s="33"/>
      <c r="BKL108" s="33"/>
      <c r="BKV108" s="33"/>
      <c r="BLF108" s="33"/>
      <c r="BLP108" s="33"/>
      <c r="BLZ108" s="33"/>
      <c r="BMJ108" s="33"/>
      <c r="BMT108" s="33"/>
      <c r="BND108" s="33"/>
      <c r="BNN108" s="33"/>
      <c r="BNX108" s="33"/>
      <c r="BOH108" s="33"/>
      <c r="BOR108" s="33"/>
      <c r="BPB108" s="33"/>
      <c r="BPL108" s="33"/>
      <c r="BPV108" s="33"/>
      <c r="BQF108" s="33"/>
      <c r="BQP108" s="33"/>
      <c r="BQZ108" s="33"/>
      <c r="BRJ108" s="33"/>
      <c r="BRT108" s="33"/>
      <c r="BSD108" s="33"/>
      <c r="BSN108" s="33"/>
      <c r="BSX108" s="33"/>
      <c r="BTH108" s="33"/>
      <c r="BTR108" s="33"/>
      <c r="BUB108" s="33"/>
      <c r="BUL108" s="33"/>
      <c r="BUV108" s="33"/>
      <c r="BVF108" s="33"/>
      <c r="BVP108" s="33"/>
      <c r="BVZ108" s="33"/>
      <c r="BWJ108" s="33"/>
      <c r="BWT108" s="33"/>
      <c r="BXD108" s="33"/>
      <c r="BXN108" s="33"/>
      <c r="BXX108" s="33"/>
      <c r="BYH108" s="33"/>
      <c r="BYR108" s="33"/>
      <c r="BZB108" s="33"/>
      <c r="BZL108" s="33"/>
      <c r="BZV108" s="33"/>
      <c r="CAF108" s="33"/>
      <c r="CAP108" s="33"/>
      <c r="CAZ108" s="33"/>
      <c r="CBJ108" s="33"/>
      <c r="CBT108" s="33"/>
      <c r="CCD108" s="33"/>
      <c r="CCN108" s="33"/>
      <c r="CCX108" s="33"/>
      <c r="CDH108" s="33"/>
      <c r="CDR108" s="33"/>
      <c r="CEB108" s="33"/>
      <c r="CEL108" s="33"/>
      <c r="CEV108" s="33"/>
      <c r="CFF108" s="33"/>
      <c r="CFP108" s="33"/>
      <c r="CFZ108" s="33"/>
      <c r="CGJ108" s="33"/>
      <c r="CGT108" s="33"/>
      <c r="CHD108" s="33"/>
      <c r="CHN108" s="33"/>
      <c r="CHX108" s="33"/>
      <c r="CIH108" s="33"/>
      <c r="CIR108" s="33"/>
      <c r="CJB108" s="33"/>
      <c r="CJL108" s="33"/>
      <c r="CJV108" s="33"/>
      <c r="CKF108" s="33"/>
      <c r="CKP108" s="33"/>
      <c r="CKZ108" s="33"/>
      <c r="CLJ108" s="33"/>
      <c r="CLT108" s="33"/>
      <c r="CMD108" s="33"/>
      <c r="CMN108" s="33"/>
      <c r="CMX108" s="33"/>
      <c r="CNH108" s="33"/>
      <c r="CNR108" s="33"/>
      <c r="COB108" s="33"/>
      <c r="COL108" s="33"/>
      <c r="COV108" s="33"/>
      <c r="CPF108" s="33"/>
      <c r="CPP108" s="33"/>
      <c r="CPZ108" s="33"/>
      <c r="CQJ108" s="33"/>
      <c r="CQT108" s="33"/>
      <c r="CRD108" s="33"/>
      <c r="CRN108" s="33"/>
      <c r="CRX108" s="33"/>
      <c r="CSH108" s="33"/>
      <c r="CSR108" s="33"/>
      <c r="CTB108" s="33"/>
      <c r="CTL108" s="33"/>
      <c r="CTV108" s="33"/>
    </row>
    <row r="109" s="16" customFormat="1" customHeight="1" spans="1:1020 1030:2040 2050:2570">
      <c r="A109" s="57"/>
      <c r="B109" s="52"/>
      <c r="C109" s="52"/>
      <c r="D109" s="52"/>
      <c r="E109" s="52"/>
      <c r="F109" s="58" t="str">
        <f>IFERROR(VLOOKUP(E109,日报!E:G,2,0),"")</f>
        <v/>
      </c>
      <c r="G109" s="52"/>
      <c r="H109" s="53" t="str">
        <f>IFERROR(VLOOKUP(E109,基础数据!$E$4:$H$4,4,0),"")</f>
        <v/>
      </c>
      <c r="I109" s="53" t="str">
        <f>IFERROR(VLOOKUP(E109,基础数据!$E$4:$H$4,3,0),"")</f>
        <v/>
      </c>
      <c r="J109" s="52"/>
      <c r="K109" s="54" t="str">
        <f t="shared" si="1"/>
        <v/>
      </c>
      <c r="T109" s="33"/>
      <c r="AD109" s="33"/>
      <c r="AN109" s="33"/>
      <c r="AX109" s="33"/>
      <c r="BH109" s="33"/>
      <c r="BR109" s="33"/>
      <c r="CB109" s="33"/>
      <c r="CL109" s="33"/>
      <c r="CV109" s="33"/>
      <c r="DF109" s="33"/>
      <c r="DP109" s="33"/>
      <c r="DZ109" s="33"/>
      <c r="EJ109" s="33"/>
      <c r="ET109" s="33"/>
      <c r="FD109" s="33"/>
      <c r="FN109" s="33"/>
      <c r="FX109" s="33"/>
      <c r="GH109" s="33"/>
      <c r="GR109" s="33"/>
      <c r="HB109" s="33"/>
      <c r="HL109" s="33"/>
      <c r="HV109" s="33"/>
      <c r="IF109" s="33"/>
      <c r="IP109" s="33"/>
      <c r="IZ109" s="33"/>
      <c r="JJ109" s="33"/>
      <c r="JT109" s="33"/>
      <c r="KD109" s="33"/>
      <c r="KN109" s="33"/>
      <c r="KX109" s="33"/>
      <c r="LH109" s="33"/>
      <c r="LR109" s="33"/>
      <c r="MB109" s="33"/>
      <c r="ML109" s="33"/>
      <c r="MV109" s="33"/>
      <c r="NF109" s="33"/>
      <c r="NP109" s="33"/>
      <c r="NZ109" s="33"/>
      <c r="OJ109" s="33"/>
      <c r="OT109" s="33"/>
      <c r="PD109" s="33"/>
      <c r="PN109" s="33"/>
      <c r="PX109" s="33"/>
      <c r="QH109" s="33"/>
      <c r="QR109" s="33"/>
      <c r="RB109" s="33"/>
      <c r="RL109" s="33"/>
      <c r="RV109" s="33"/>
      <c r="SF109" s="33"/>
      <c r="SP109" s="33"/>
      <c r="SZ109" s="33"/>
      <c r="TJ109" s="33"/>
      <c r="TT109" s="33"/>
      <c r="UD109" s="33"/>
      <c r="UN109" s="33"/>
      <c r="UX109" s="33"/>
      <c r="VH109" s="33"/>
      <c r="VR109" s="33"/>
      <c r="WB109" s="33"/>
      <c r="WL109" s="33"/>
      <c r="WV109" s="33"/>
      <c r="XF109" s="33"/>
      <c r="XP109" s="33"/>
      <c r="XZ109" s="33"/>
      <c r="YJ109" s="33"/>
      <c r="YT109" s="33"/>
      <c r="ZD109" s="33"/>
      <c r="ZN109" s="33"/>
      <c r="ZX109" s="33"/>
      <c r="AAH109" s="33"/>
      <c r="AAR109" s="33"/>
      <c r="ABB109" s="33"/>
      <c r="ABL109" s="33"/>
      <c r="ABV109" s="33"/>
      <c r="ACF109" s="33"/>
      <c r="ACP109" s="33"/>
      <c r="ACZ109" s="33"/>
      <c r="ADJ109" s="33"/>
      <c r="ADT109" s="33"/>
      <c r="AED109" s="33"/>
      <c r="AEN109" s="33"/>
      <c r="AEX109" s="33"/>
      <c r="AFH109" s="33"/>
      <c r="AFR109" s="33"/>
      <c r="AGB109" s="33"/>
      <c r="AGL109" s="33"/>
      <c r="AGV109" s="33"/>
      <c r="AHF109" s="33"/>
      <c r="AHP109" s="33"/>
      <c r="AHZ109" s="33"/>
      <c r="AIJ109" s="33"/>
      <c r="AIT109" s="33"/>
      <c r="AJD109" s="33"/>
      <c r="AJN109" s="33"/>
      <c r="AJX109" s="33"/>
      <c r="AKH109" s="33"/>
      <c r="AKR109" s="33"/>
      <c r="ALB109" s="33"/>
      <c r="ALL109" s="33"/>
      <c r="ALV109" s="33"/>
      <c r="AMF109" s="33"/>
      <c r="AMP109" s="33"/>
      <c r="AMZ109" s="33"/>
      <c r="ANJ109" s="33"/>
      <c r="ANT109" s="33"/>
      <c r="AOD109" s="33"/>
      <c r="AON109" s="33"/>
      <c r="AOX109" s="33"/>
      <c r="APH109" s="33"/>
      <c r="APR109" s="33"/>
      <c r="AQB109" s="33"/>
      <c r="AQL109" s="33"/>
      <c r="AQV109" s="33"/>
      <c r="ARF109" s="33"/>
      <c r="ARP109" s="33"/>
      <c r="ARZ109" s="33"/>
      <c r="ASJ109" s="33"/>
      <c r="AST109" s="33"/>
      <c r="ATD109" s="33"/>
      <c r="ATN109" s="33"/>
      <c r="ATX109" s="33"/>
      <c r="AUH109" s="33"/>
      <c r="AUR109" s="33"/>
      <c r="AVB109" s="33"/>
      <c r="AVL109" s="33"/>
      <c r="AVV109" s="33"/>
      <c r="AWF109" s="33"/>
      <c r="AWP109" s="33"/>
      <c r="AWZ109" s="33"/>
      <c r="AXJ109" s="33"/>
      <c r="AXT109" s="33"/>
      <c r="AYD109" s="33"/>
      <c r="AYN109" s="33"/>
      <c r="AYX109" s="33"/>
      <c r="AZH109" s="33"/>
      <c r="AZR109" s="33"/>
      <c r="BAB109" s="33"/>
      <c r="BAL109" s="33"/>
      <c r="BAV109" s="33"/>
      <c r="BBF109" s="33"/>
      <c r="BBP109" s="33"/>
      <c r="BBZ109" s="33"/>
      <c r="BCJ109" s="33"/>
      <c r="BCT109" s="33"/>
      <c r="BDD109" s="33"/>
      <c r="BDN109" s="33"/>
      <c r="BDX109" s="33"/>
      <c r="BEH109" s="33"/>
      <c r="BER109" s="33"/>
      <c r="BFB109" s="33"/>
      <c r="BFL109" s="33"/>
      <c r="BFV109" s="33"/>
      <c r="BGF109" s="33"/>
      <c r="BGP109" s="33"/>
      <c r="BGZ109" s="33"/>
      <c r="BHJ109" s="33"/>
      <c r="BHT109" s="33"/>
      <c r="BID109" s="33"/>
      <c r="BIN109" s="33"/>
      <c r="BIX109" s="33"/>
      <c r="BJH109" s="33"/>
      <c r="BJR109" s="33"/>
      <c r="BKB109" s="33"/>
      <c r="BKL109" s="33"/>
      <c r="BKV109" s="33"/>
      <c r="BLF109" s="33"/>
      <c r="BLP109" s="33"/>
      <c r="BLZ109" s="33"/>
      <c r="BMJ109" s="33"/>
      <c r="BMT109" s="33"/>
      <c r="BND109" s="33"/>
      <c r="BNN109" s="33"/>
      <c r="BNX109" s="33"/>
      <c r="BOH109" s="33"/>
      <c r="BOR109" s="33"/>
      <c r="BPB109" s="33"/>
      <c r="BPL109" s="33"/>
      <c r="BPV109" s="33"/>
      <c r="BQF109" s="33"/>
      <c r="BQP109" s="33"/>
      <c r="BQZ109" s="33"/>
      <c r="BRJ109" s="33"/>
      <c r="BRT109" s="33"/>
      <c r="BSD109" s="33"/>
      <c r="BSN109" s="33"/>
      <c r="BSX109" s="33"/>
      <c r="BTH109" s="33"/>
      <c r="BTR109" s="33"/>
      <c r="BUB109" s="33"/>
      <c r="BUL109" s="33"/>
      <c r="BUV109" s="33"/>
      <c r="BVF109" s="33"/>
      <c r="BVP109" s="33"/>
      <c r="BVZ109" s="33"/>
      <c r="BWJ109" s="33"/>
      <c r="BWT109" s="33"/>
      <c r="BXD109" s="33"/>
      <c r="BXN109" s="33"/>
      <c r="BXX109" s="33"/>
      <c r="BYH109" s="33"/>
      <c r="BYR109" s="33"/>
      <c r="BZB109" s="33"/>
      <c r="BZL109" s="33"/>
      <c r="BZV109" s="33"/>
      <c r="CAF109" s="33"/>
      <c r="CAP109" s="33"/>
      <c r="CAZ109" s="33"/>
      <c r="CBJ109" s="33"/>
      <c r="CBT109" s="33"/>
      <c r="CCD109" s="33"/>
      <c r="CCN109" s="33"/>
      <c r="CCX109" s="33"/>
      <c r="CDH109" s="33"/>
      <c r="CDR109" s="33"/>
      <c r="CEB109" s="33"/>
      <c r="CEL109" s="33"/>
      <c r="CEV109" s="33"/>
      <c r="CFF109" s="33"/>
      <c r="CFP109" s="33"/>
      <c r="CFZ109" s="33"/>
      <c r="CGJ109" s="33"/>
      <c r="CGT109" s="33"/>
      <c r="CHD109" s="33"/>
      <c r="CHN109" s="33"/>
      <c r="CHX109" s="33"/>
      <c r="CIH109" s="33"/>
      <c r="CIR109" s="33"/>
      <c r="CJB109" s="33"/>
      <c r="CJL109" s="33"/>
      <c r="CJV109" s="33"/>
      <c r="CKF109" s="33"/>
      <c r="CKP109" s="33"/>
      <c r="CKZ109" s="33"/>
      <c r="CLJ109" s="33"/>
      <c r="CLT109" s="33"/>
      <c r="CMD109" s="33"/>
      <c r="CMN109" s="33"/>
      <c r="CMX109" s="33"/>
      <c r="CNH109" s="33"/>
      <c r="CNR109" s="33"/>
      <c r="COB109" s="33"/>
      <c r="COL109" s="33"/>
      <c r="COV109" s="33"/>
      <c r="CPF109" s="33"/>
      <c r="CPP109" s="33"/>
      <c r="CPZ109" s="33"/>
      <c r="CQJ109" s="33"/>
      <c r="CQT109" s="33"/>
      <c r="CRD109" s="33"/>
      <c r="CRN109" s="33"/>
      <c r="CRX109" s="33"/>
      <c r="CSH109" s="33"/>
      <c r="CSR109" s="33"/>
      <c r="CTB109" s="33"/>
      <c r="CTL109" s="33"/>
      <c r="CTV109" s="33"/>
    </row>
    <row r="110" s="16" customFormat="1" customHeight="1" spans="1:1020 1030:2040 2050:2570">
      <c r="A110" s="57"/>
      <c r="B110" s="52"/>
      <c r="C110" s="52"/>
      <c r="D110" s="52"/>
      <c r="E110" s="52"/>
      <c r="F110" s="58" t="str">
        <f>IFERROR(VLOOKUP(E110,日报!E:G,2,0),"")</f>
        <v/>
      </c>
      <c r="G110" s="52"/>
      <c r="H110" s="53" t="str">
        <f>IFERROR(VLOOKUP(E110,基础数据!$E$4:$H$4,4,0),"")</f>
        <v/>
      </c>
      <c r="I110" s="53" t="str">
        <f>IFERROR(VLOOKUP(E110,基础数据!$E$4:$H$4,3,0),"")</f>
        <v/>
      </c>
      <c r="J110" s="52"/>
      <c r="K110" s="54" t="str">
        <f t="shared" si="1"/>
        <v/>
      </c>
      <c r="T110" s="33"/>
      <c r="AD110" s="33"/>
      <c r="AN110" s="33"/>
      <c r="AX110" s="33"/>
      <c r="BH110" s="33"/>
      <c r="BR110" s="33"/>
      <c r="CB110" s="33"/>
      <c r="CL110" s="33"/>
      <c r="CV110" s="33"/>
      <c r="DF110" s="33"/>
      <c r="DP110" s="33"/>
      <c r="DZ110" s="33"/>
      <c r="EJ110" s="33"/>
      <c r="ET110" s="33"/>
      <c r="FD110" s="33"/>
      <c r="FN110" s="33"/>
      <c r="FX110" s="33"/>
      <c r="GH110" s="33"/>
      <c r="GR110" s="33"/>
      <c r="HB110" s="33"/>
      <c r="HL110" s="33"/>
      <c r="HV110" s="33"/>
      <c r="IF110" s="33"/>
      <c r="IP110" s="33"/>
      <c r="IZ110" s="33"/>
      <c r="JJ110" s="33"/>
      <c r="JT110" s="33"/>
      <c r="KD110" s="33"/>
      <c r="KN110" s="33"/>
      <c r="KX110" s="33"/>
      <c r="LH110" s="33"/>
      <c r="LR110" s="33"/>
      <c r="MB110" s="33"/>
      <c r="ML110" s="33"/>
      <c r="MV110" s="33"/>
      <c r="NF110" s="33"/>
      <c r="NP110" s="33"/>
      <c r="NZ110" s="33"/>
      <c r="OJ110" s="33"/>
      <c r="OT110" s="33"/>
      <c r="PD110" s="33"/>
      <c r="PN110" s="33"/>
      <c r="PX110" s="33"/>
      <c r="QH110" s="33"/>
      <c r="QR110" s="33"/>
      <c r="RB110" s="33"/>
      <c r="RL110" s="33"/>
      <c r="RV110" s="33"/>
      <c r="SF110" s="33"/>
      <c r="SP110" s="33"/>
      <c r="SZ110" s="33"/>
      <c r="TJ110" s="33"/>
      <c r="TT110" s="33"/>
      <c r="UD110" s="33"/>
      <c r="UN110" s="33"/>
      <c r="UX110" s="33"/>
      <c r="VH110" s="33"/>
      <c r="VR110" s="33"/>
      <c r="WB110" s="33"/>
      <c r="WL110" s="33"/>
      <c r="WV110" s="33"/>
      <c r="XF110" s="33"/>
      <c r="XP110" s="33"/>
      <c r="XZ110" s="33"/>
      <c r="YJ110" s="33"/>
      <c r="YT110" s="33"/>
      <c r="ZD110" s="33"/>
      <c r="ZN110" s="33"/>
      <c r="ZX110" s="33"/>
      <c r="AAH110" s="33"/>
      <c r="AAR110" s="33"/>
      <c r="ABB110" s="33"/>
      <c r="ABL110" s="33"/>
      <c r="ABV110" s="33"/>
      <c r="ACF110" s="33"/>
      <c r="ACP110" s="33"/>
      <c r="ACZ110" s="33"/>
      <c r="ADJ110" s="33"/>
      <c r="ADT110" s="33"/>
      <c r="AED110" s="33"/>
      <c r="AEN110" s="33"/>
      <c r="AEX110" s="33"/>
      <c r="AFH110" s="33"/>
      <c r="AFR110" s="33"/>
      <c r="AGB110" s="33"/>
      <c r="AGL110" s="33"/>
      <c r="AGV110" s="33"/>
      <c r="AHF110" s="33"/>
      <c r="AHP110" s="33"/>
      <c r="AHZ110" s="33"/>
      <c r="AIJ110" s="33"/>
      <c r="AIT110" s="33"/>
      <c r="AJD110" s="33"/>
      <c r="AJN110" s="33"/>
      <c r="AJX110" s="33"/>
      <c r="AKH110" s="33"/>
      <c r="AKR110" s="33"/>
      <c r="ALB110" s="33"/>
      <c r="ALL110" s="33"/>
      <c r="ALV110" s="33"/>
      <c r="AMF110" s="33"/>
      <c r="AMP110" s="33"/>
      <c r="AMZ110" s="33"/>
      <c r="ANJ110" s="33"/>
      <c r="ANT110" s="33"/>
      <c r="AOD110" s="33"/>
      <c r="AON110" s="33"/>
      <c r="AOX110" s="33"/>
      <c r="APH110" s="33"/>
      <c r="APR110" s="33"/>
      <c r="AQB110" s="33"/>
      <c r="AQL110" s="33"/>
      <c r="AQV110" s="33"/>
      <c r="ARF110" s="33"/>
      <c r="ARP110" s="33"/>
      <c r="ARZ110" s="33"/>
      <c r="ASJ110" s="33"/>
      <c r="AST110" s="33"/>
      <c r="ATD110" s="33"/>
      <c r="ATN110" s="33"/>
      <c r="ATX110" s="33"/>
      <c r="AUH110" s="33"/>
      <c r="AUR110" s="33"/>
      <c r="AVB110" s="33"/>
      <c r="AVL110" s="33"/>
      <c r="AVV110" s="33"/>
      <c r="AWF110" s="33"/>
      <c r="AWP110" s="33"/>
      <c r="AWZ110" s="33"/>
      <c r="AXJ110" s="33"/>
      <c r="AXT110" s="33"/>
      <c r="AYD110" s="33"/>
      <c r="AYN110" s="33"/>
      <c r="AYX110" s="33"/>
      <c r="AZH110" s="33"/>
      <c r="AZR110" s="33"/>
      <c r="BAB110" s="33"/>
      <c r="BAL110" s="33"/>
      <c r="BAV110" s="33"/>
      <c r="BBF110" s="33"/>
      <c r="BBP110" s="33"/>
      <c r="BBZ110" s="33"/>
      <c r="BCJ110" s="33"/>
      <c r="BCT110" s="33"/>
      <c r="BDD110" s="33"/>
      <c r="BDN110" s="33"/>
      <c r="BDX110" s="33"/>
      <c r="BEH110" s="33"/>
      <c r="BER110" s="33"/>
      <c r="BFB110" s="33"/>
      <c r="BFL110" s="33"/>
      <c r="BFV110" s="33"/>
      <c r="BGF110" s="33"/>
      <c r="BGP110" s="33"/>
      <c r="BGZ110" s="33"/>
      <c r="BHJ110" s="33"/>
      <c r="BHT110" s="33"/>
      <c r="BID110" s="33"/>
      <c r="BIN110" s="33"/>
      <c r="BIX110" s="33"/>
      <c r="BJH110" s="33"/>
      <c r="BJR110" s="33"/>
      <c r="BKB110" s="33"/>
      <c r="BKL110" s="33"/>
      <c r="BKV110" s="33"/>
      <c r="BLF110" s="33"/>
      <c r="BLP110" s="33"/>
      <c r="BLZ110" s="33"/>
      <c r="BMJ110" s="33"/>
      <c r="BMT110" s="33"/>
      <c r="BND110" s="33"/>
      <c r="BNN110" s="33"/>
      <c r="BNX110" s="33"/>
      <c r="BOH110" s="33"/>
      <c r="BOR110" s="33"/>
      <c r="BPB110" s="33"/>
      <c r="BPL110" s="33"/>
      <c r="BPV110" s="33"/>
      <c r="BQF110" s="33"/>
      <c r="BQP110" s="33"/>
      <c r="BQZ110" s="33"/>
      <c r="BRJ110" s="33"/>
      <c r="BRT110" s="33"/>
      <c r="BSD110" s="33"/>
      <c r="BSN110" s="33"/>
      <c r="BSX110" s="33"/>
      <c r="BTH110" s="33"/>
      <c r="BTR110" s="33"/>
      <c r="BUB110" s="33"/>
      <c r="BUL110" s="33"/>
      <c r="BUV110" s="33"/>
      <c r="BVF110" s="33"/>
      <c r="BVP110" s="33"/>
      <c r="BVZ110" s="33"/>
      <c r="BWJ110" s="33"/>
      <c r="BWT110" s="33"/>
      <c r="BXD110" s="33"/>
      <c r="BXN110" s="33"/>
      <c r="BXX110" s="33"/>
      <c r="BYH110" s="33"/>
      <c r="BYR110" s="33"/>
      <c r="BZB110" s="33"/>
      <c r="BZL110" s="33"/>
      <c r="BZV110" s="33"/>
      <c r="CAF110" s="33"/>
      <c r="CAP110" s="33"/>
      <c r="CAZ110" s="33"/>
      <c r="CBJ110" s="33"/>
      <c r="CBT110" s="33"/>
      <c r="CCD110" s="33"/>
      <c r="CCN110" s="33"/>
      <c r="CCX110" s="33"/>
      <c r="CDH110" s="33"/>
      <c r="CDR110" s="33"/>
      <c r="CEB110" s="33"/>
      <c r="CEL110" s="33"/>
      <c r="CEV110" s="33"/>
      <c r="CFF110" s="33"/>
      <c r="CFP110" s="33"/>
      <c r="CFZ110" s="33"/>
      <c r="CGJ110" s="33"/>
      <c r="CGT110" s="33"/>
      <c r="CHD110" s="33"/>
      <c r="CHN110" s="33"/>
      <c r="CHX110" s="33"/>
      <c r="CIH110" s="33"/>
      <c r="CIR110" s="33"/>
      <c r="CJB110" s="33"/>
      <c r="CJL110" s="33"/>
      <c r="CJV110" s="33"/>
      <c r="CKF110" s="33"/>
      <c r="CKP110" s="33"/>
      <c r="CKZ110" s="33"/>
      <c r="CLJ110" s="33"/>
      <c r="CLT110" s="33"/>
      <c r="CMD110" s="33"/>
      <c r="CMN110" s="33"/>
      <c r="CMX110" s="33"/>
      <c r="CNH110" s="33"/>
      <c r="CNR110" s="33"/>
      <c r="COB110" s="33"/>
      <c r="COL110" s="33"/>
      <c r="COV110" s="33"/>
      <c r="CPF110" s="33"/>
      <c r="CPP110" s="33"/>
      <c r="CPZ110" s="33"/>
      <c r="CQJ110" s="33"/>
      <c r="CQT110" s="33"/>
      <c r="CRD110" s="33"/>
      <c r="CRN110" s="33"/>
      <c r="CRX110" s="33"/>
      <c r="CSH110" s="33"/>
      <c r="CSR110" s="33"/>
      <c r="CTB110" s="33"/>
      <c r="CTL110" s="33"/>
      <c r="CTV110" s="33"/>
    </row>
    <row r="111" s="16" customFormat="1" customHeight="1" spans="1:1020 1030:2040 2050:2570">
      <c r="A111" s="57"/>
      <c r="B111" s="52"/>
      <c r="C111" s="52"/>
      <c r="D111" s="52"/>
      <c r="E111" s="52"/>
      <c r="F111" s="58" t="str">
        <f>IFERROR(VLOOKUP(E111,日报!E:G,2,0),"")</f>
        <v/>
      </c>
      <c r="G111" s="52"/>
      <c r="H111" s="53" t="str">
        <f>IFERROR(VLOOKUP(E111,基础数据!$E$4:$H$4,4,0),"")</f>
        <v/>
      </c>
      <c r="I111" s="53" t="str">
        <f>IFERROR(VLOOKUP(E111,基础数据!$E$4:$H$4,3,0),"")</f>
        <v/>
      </c>
      <c r="J111" s="52"/>
      <c r="K111" s="54" t="str">
        <f t="shared" si="1"/>
        <v/>
      </c>
      <c r="T111" s="33"/>
      <c r="AD111" s="33"/>
      <c r="AN111" s="33"/>
      <c r="AX111" s="33"/>
      <c r="BH111" s="33"/>
      <c r="BR111" s="33"/>
      <c r="CB111" s="33"/>
      <c r="CL111" s="33"/>
      <c r="CV111" s="33"/>
      <c r="DF111" s="33"/>
      <c r="DP111" s="33"/>
      <c r="DZ111" s="33"/>
      <c r="EJ111" s="33"/>
      <c r="ET111" s="33"/>
      <c r="FD111" s="33"/>
      <c r="FN111" s="33"/>
      <c r="FX111" s="33"/>
      <c r="GH111" s="33"/>
      <c r="GR111" s="33"/>
      <c r="HB111" s="33"/>
      <c r="HL111" s="33"/>
      <c r="HV111" s="33"/>
      <c r="IF111" s="33"/>
      <c r="IP111" s="33"/>
      <c r="IZ111" s="33"/>
      <c r="JJ111" s="33"/>
      <c r="JT111" s="33"/>
      <c r="KD111" s="33"/>
      <c r="KN111" s="33"/>
      <c r="KX111" s="33"/>
      <c r="LH111" s="33"/>
      <c r="LR111" s="33"/>
      <c r="MB111" s="33"/>
      <c r="ML111" s="33"/>
      <c r="MV111" s="33"/>
      <c r="NF111" s="33"/>
      <c r="NP111" s="33"/>
      <c r="NZ111" s="33"/>
      <c r="OJ111" s="33"/>
      <c r="OT111" s="33"/>
      <c r="PD111" s="33"/>
      <c r="PN111" s="33"/>
      <c r="PX111" s="33"/>
      <c r="QH111" s="33"/>
      <c r="QR111" s="33"/>
      <c r="RB111" s="33"/>
      <c r="RL111" s="33"/>
      <c r="RV111" s="33"/>
      <c r="SF111" s="33"/>
      <c r="SP111" s="33"/>
      <c r="SZ111" s="33"/>
      <c r="TJ111" s="33"/>
      <c r="TT111" s="33"/>
      <c r="UD111" s="33"/>
      <c r="UN111" s="33"/>
      <c r="UX111" s="33"/>
      <c r="VH111" s="33"/>
      <c r="VR111" s="33"/>
      <c r="WB111" s="33"/>
      <c r="WL111" s="33"/>
      <c r="WV111" s="33"/>
      <c r="XF111" s="33"/>
      <c r="XP111" s="33"/>
      <c r="XZ111" s="33"/>
      <c r="YJ111" s="33"/>
      <c r="YT111" s="33"/>
      <c r="ZD111" s="33"/>
      <c r="ZN111" s="33"/>
      <c r="ZX111" s="33"/>
      <c r="AAH111" s="33"/>
      <c r="AAR111" s="33"/>
      <c r="ABB111" s="33"/>
      <c r="ABL111" s="33"/>
      <c r="ABV111" s="33"/>
      <c r="ACF111" s="33"/>
      <c r="ACP111" s="33"/>
      <c r="ACZ111" s="33"/>
      <c r="ADJ111" s="33"/>
      <c r="ADT111" s="33"/>
      <c r="AED111" s="33"/>
      <c r="AEN111" s="33"/>
      <c r="AEX111" s="33"/>
      <c r="AFH111" s="33"/>
      <c r="AFR111" s="33"/>
      <c r="AGB111" s="33"/>
      <c r="AGL111" s="33"/>
      <c r="AGV111" s="33"/>
      <c r="AHF111" s="33"/>
      <c r="AHP111" s="33"/>
      <c r="AHZ111" s="33"/>
      <c r="AIJ111" s="33"/>
      <c r="AIT111" s="33"/>
      <c r="AJD111" s="33"/>
      <c r="AJN111" s="33"/>
      <c r="AJX111" s="33"/>
      <c r="AKH111" s="33"/>
      <c r="AKR111" s="33"/>
      <c r="ALB111" s="33"/>
      <c r="ALL111" s="33"/>
      <c r="ALV111" s="33"/>
      <c r="AMF111" s="33"/>
      <c r="AMP111" s="33"/>
      <c r="AMZ111" s="33"/>
      <c r="ANJ111" s="33"/>
      <c r="ANT111" s="33"/>
      <c r="AOD111" s="33"/>
      <c r="AON111" s="33"/>
      <c r="AOX111" s="33"/>
      <c r="APH111" s="33"/>
      <c r="APR111" s="33"/>
      <c r="AQB111" s="33"/>
      <c r="AQL111" s="33"/>
      <c r="AQV111" s="33"/>
      <c r="ARF111" s="33"/>
      <c r="ARP111" s="33"/>
      <c r="ARZ111" s="33"/>
      <c r="ASJ111" s="33"/>
      <c r="AST111" s="33"/>
      <c r="ATD111" s="33"/>
      <c r="ATN111" s="33"/>
      <c r="ATX111" s="33"/>
      <c r="AUH111" s="33"/>
      <c r="AUR111" s="33"/>
      <c r="AVB111" s="33"/>
      <c r="AVL111" s="33"/>
      <c r="AVV111" s="33"/>
      <c r="AWF111" s="33"/>
      <c r="AWP111" s="33"/>
      <c r="AWZ111" s="33"/>
      <c r="AXJ111" s="33"/>
      <c r="AXT111" s="33"/>
      <c r="AYD111" s="33"/>
      <c r="AYN111" s="33"/>
      <c r="AYX111" s="33"/>
      <c r="AZH111" s="33"/>
      <c r="AZR111" s="33"/>
      <c r="BAB111" s="33"/>
      <c r="BAL111" s="33"/>
      <c r="BAV111" s="33"/>
      <c r="BBF111" s="33"/>
      <c r="BBP111" s="33"/>
      <c r="BBZ111" s="33"/>
      <c r="BCJ111" s="33"/>
      <c r="BCT111" s="33"/>
      <c r="BDD111" s="33"/>
      <c r="BDN111" s="33"/>
      <c r="BDX111" s="33"/>
      <c r="BEH111" s="33"/>
      <c r="BER111" s="33"/>
      <c r="BFB111" s="33"/>
      <c r="BFL111" s="33"/>
      <c r="BFV111" s="33"/>
      <c r="BGF111" s="33"/>
      <c r="BGP111" s="33"/>
      <c r="BGZ111" s="33"/>
      <c r="BHJ111" s="33"/>
      <c r="BHT111" s="33"/>
      <c r="BID111" s="33"/>
      <c r="BIN111" s="33"/>
      <c r="BIX111" s="33"/>
      <c r="BJH111" s="33"/>
      <c r="BJR111" s="33"/>
      <c r="BKB111" s="33"/>
      <c r="BKL111" s="33"/>
      <c r="BKV111" s="33"/>
      <c r="BLF111" s="33"/>
      <c r="BLP111" s="33"/>
      <c r="BLZ111" s="33"/>
      <c r="BMJ111" s="33"/>
      <c r="BMT111" s="33"/>
      <c r="BND111" s="33"/>
      <c r="BNN111" s="33"/>
      <c r="BNX111" s="33"/>
      <c r="BOH111" s="33"/>
      <c r="BOR111" s="33"/>
      <c r="BPB111" s="33"/>
      <c r="BPL111" s="33"/>
      <c r="BPV111" s="33"/>
      <c r="BQF111" s="33"/>
      <c r="BQP111" s="33"/>
      <c r="BQZ111" s="33"/>
      <c r="BRJ111" s="33"/>
      <c r="BRT111" s="33"/>
      <c r="BSD111" s="33"/>
      <c r="BSN111" s="33"/>
      <c r="BSX111" s="33"/>
      <c r="BTH111" s="33"/>
      <c r="BTR111" s="33"/>
      <c r="BUB111" s="33"/>
      <c r="BUL111" s="33"/>
      <c r="BUV111" s="33"/>
      <c r="BVF111" s="33"/>
      <c r="BVP111" s="33"/>
      <c r="BVZ111" s="33"/>
      <c r="BWJ111" s="33"/>
      <c r="BWT111" s="33"/>
      <c r="BXD111" s="33"/>
      <c r="BXN111" s="33"/>
      <c r="BXX111" s="33"/>
      <c r="BYH111" s="33"/>
      <c r="BYR111" s="33"/>
      <c r="BZB111" s="33"/>
      <c r="BZL111" s="33"/>
      <c r="BZV111" s="33"/>
      <c r="CAF111" s="33"/>
      <c r="CAP111" s="33"/>
      <c r="CAZ111" s="33"/>
      <c r="CBJ111" s="33"/>
      <c r="CBT111" s="33"/>
      <c r="CCD111" s="33"/>
      <c r="CCN111" s="33"/>
      <c r="CCX111" s="33"/>
      <c r="CDH111" s="33"/>
      <c r="CDR111" s="33"/>
      <c r="CEB111" s="33"/>
      <c r="CEL111" s="33"/>
      <c r="CEV111" s="33"/>
      <c r="CFF111" s="33"/>
      <c r="CFP111" s="33"/>
      <c r="CFZ111" s="33"/>
      <c r="CGJ111" s="33"/>
      <c r="CGT111" s="33"/>
      <c r="CHD111" s="33"/>
      <c r="CHN111" s="33"/>
      <c r="CHX111" s="33"/>
      <c r="CIH111" s="33"/>
      <c r="CIR111" s="33"/>
      <c r="CJB111" s="33"/>
      <c r="CJL111" s="33"/>
      <c r="CJV111" s="33"/>
      <c r="CKF111" s="33"/>
      <c r="CKP111" s="33"/>
      <c r="CKZ111" s="33"/>
      <c r="CLJ111" s="33"/>
      <c r="CLT111" s="33"/>
      <c r="CMD111" s="33"/>
      <c r="CMN111" s="33"/>
      <c r="CMX111" s="33"/>
      <c r="CNH111" s="33"/>
      <c r="CNR111" s="33"/>
      <c r="COB111" s="33"/>
      <c r="COL111" s="33"/>
      <c r="COV111" s="33"/>
      <c r="CPF111" s="33"/>
      <c r="CPP111" s="33"/>
      <c r="CPZ111" s="33"/>
      <c r="CQJ111" s="33"/>
      <c r="CQT111" s="33"/>
      <c r="CRD111" s="33"/>
      <c r="CRN111" s="33"/>
      <c r="CRX111" s="33"/>
      <c r="CSH111" s="33"/>
      <c r="CSR111" s="33"/>
      <c r="CTB111" s="33"/>
      <c r="CTL111" s="33"/>
      <c r="CTV111" s="33"/>
    </row>
    <row r="112" s="16" customFormat="1" customHeight="1" spans="1:1020 1030:2040 2050:2570">
      <c r="A112" s="57"/>
      <c r="B112" s="52"/>
      <c r="C112" s="52"/>
      <c r="D112" s="52"/>
      <c r="E112" s="52"/>
      <c r="F112" s="58" t="str">
        <f>IFERROR(VLOOKUP(E112,日报!E:G,2,0),"")</f>
        <v/>
      </c>
      <c r="G112" s="52"/>
      <c r="H112" s="53" t="str">
        <f>IFERROR(VLOOKUP(E112,基础数据!$E$4:$H$4,4,0),"")</f>
        <v/>
      </c>
      <c r="I112" s="53" t="str">
        <f>IFERROR(VLOOKUP(E112,基础数据!$E$4:$H$4,3,0),"")</f>
        <v/>
      </c>
      <c r="J112" s="52"/>
      <c r="K112" s="54" t="str">
        <f t="shared" si="1"/>
        <v/>
      </c>
      <c r="T112" s="33"/>
      <c r="AD112" s="33"/>
      <c r="AN112" s="33"/>
      <c r="AX112" s="33"/>
      <c r="BH112" s="33"/>
      <c r="BR112" s="33"/>
      <c r="CB112" s="33"/>
      <c r="CL112" s="33"/>
      <c r="CV112" s="33"/>
      <c r="DF112" s="33"/>
      <c r="DP112" s="33"/>
      <c r="DZ112" s="33"/>
      <c r="EJ112" s="33"/>
      <c r="ET112" s="33"/>
      <c r="FD112" s="33"/>
      <c r="FN112" s="33"/>
      <c r="FX112" s="33"/>
      <c r="GH112" s="33"/>
      <c r="GR112" s="33"/>
      <c r="HB112" s="33"/>
      <c r="HL112" s="33"/>
      <c r="HV112" s="33"/>
      <c r="IF112" s="33"/>
      <c r="IP112" s="33"/>
      <c r="IZ112" s="33"/>
      <c r="JJ112" s="33"/>
      <c r="JT112" s="33"/>
      <c r="KD112" s="33"/>
      <c r="KN112" s="33"/>
      <c r="KX112" s="33"/>
      <c r="LH112" s="33"/>
      <c r="LR112" s="33"/>
      <c r="MB112" s="33"/>
      <c r="ML112" s="33"/>
      <c r="MV112" s="33"/>
      <c r="NF112" s="33"/>
      <c r="NP112" s="33"/>
      <c r="NZ112" s="33"/>
      <c r="OJ112" s="33"/>
      <c r="OT112" s="33"/>
      <c r="PD112" s="33"/>
      <c r="PN112" s="33"/>
      <c r="PX112" s="33"/>
      <c r="QH112" s="33"/>
      <c r="QR112" s="33"/>
      <c r="RB112" s="33"/>
      <c r="RL112" s="33"/>
      <c r="RV112" s="33"/>
      <c r="SF112" s="33"/>
      <c r="SP112" s="33"/>
      <c r="SZ112" s="33"/>
      <c r="TJ112" s="33"/>
      <c r="TT112" s="33"/>
      <c r="UD112" s="33"/>
      <c r="UN112" s="33"/>
      <c r="UX112" s="33"/>
      <c r="VH112" s="33"/>
      <c r="VR112" s="33"/>
      <c r="WB112" s="33"/>
      <c r="WL112" s="33"/>
      <c r="WV112" s="33"/>
      <c r="XF112" s="33"/>
      <c r="XP112" s="33"/>
      <c r="XZ112" s="33"/>
      <c r="YJ112" s="33"/>
      <c r="YT112" s="33"/>
      <c r="ZD112" s="33"/>
      <c r="ZN112" s="33"/>
      <c r="ZX112" s="33"/>
      <c r="AAH112" s="33"/>
      <c r="AAR112" s="33"/>
      <c r="ABB112" s="33"/>
      <c r="ABL112" s="33"/>
      <c r="ABV112" s="33"/>
      <c r="ACF112" s="33"/>
      <c r="ACP112" s="33"/>
      <c r="ACZ112" s="33"/>
      <c r="ADJ112" s="33"/>
      <c r="ADT112" s="33"/>
      <c r="AED112" s="33"/>
      <c r="AEN112" s="33"/>
      <c r="AEX112" s="33"/>
      <c r="AFH112" s="33"/>
      <c r="AFR112" s="33"/>
      <c r="AGB112" s="33"/>
      <c r="AGL112" s="33"/>
      <c r="AGV112" s="33"/>
      <c r="AHF112" s="33"/>
      <c r="AHP112" s="33"/>
      <c r="AHZ112" s="33"/>
      <c r="AIJ112" s="33"/>
      <c r="AIT112" s="33"/>
      <c r="AJD112" s="33"/>
      <c r="AJN112" s="33"/>
      <c r="AJX112" s="33"/>
      <c r="AKH112" s="33"/>
      <c r="AKR112" s="33"/>
      <c r="ALB112" s="33"/>
      <c r="ALL112" s="33"/>
      <c r="ALV112" s="33"/>
      <c r="AMF112" s="33"/>
      <c r="AMP112" s="33"/>
      <c r="AMZ112" s="33"/>
      <c r="ANJ112" s="33"/>
      <c r="ANT112" s="33"/>
      <c r="AOD112" s="33"/>
      <c r="AON112" s="33"/>
      <c r="AOX112" s="33"/>
      <c r="APH112" s="33"/>
      <c r="APR112" s="33"/>
      <c r="AQB112" s="33"/>
      <c r="AQL112" s="33"/>
      <c r="AQV112" s="33"/>
      <c r="ARF112" s="33"/>
      <c r="ARP112" s="33"/>
      <c r="ARZ112" s="33"/>
      <c r="ASJ112" s="33"/>
      <c r="AST112" s="33"/>
      <c r="ATD112" s="33"/>
      <c r="ATN112" s="33"/>
      <c r="ATX112" s="33"/>
      <c r="AUH112" s="33"/>
      <c r="AUR112" s="33"/>
      <c r="AVB112" s="33"/>
      <c r="AVL112" s="33"/>
      <c r="AVV112" s="33"/>
      <c r="AWF112" s="33"/>
      <c r="AWP112" s="33"/>
      <c r="AWZ112" s="33"/>
      <c r="AXJ112" s="33"/>
      <c r="AXT112" s="33"/>
      <c r="AYD112" s="33"/>
      <c r="AYN112" s="33"/>
      <c r="AYX112" s="33"/>
      <c r="AZH112" s="33"/>
      <c r="AZR112" s="33"/>
      <c r="BAB112" s="33"/>
      <c r="BAL112" s="33"/>
      <c r="BAV112" s="33"/>
      <c r="BBF112" s="33"/>
      <c r="BBP112" s="33"/>
      <c r="BBZ112" s="33"/>
      <c r="BCJ112" s="33"/>
      <c r="BCT112" s="33"/>
      <c r="BDD112" s="33"/>
      <c r="BDN112" s="33"/>
      <c r="BDX112" s="33"/>
      <c r="BEH112" s="33"/>
      <c r="BER112" s="33"/>
      <c r="BFB112" s="33"/>
      <c r="BFL112" s="33"/>
      <c r="BFV112" s="33"/>
      <c r="BGF112" s="33"/>
      <c r="BGP112" s="33"/>
      <c r="BGZ112" s="33"/>
      <c r="BHJ112" s="33"/>
      <c r="BHT112" s="33"/>
      <c r="BID112" s="33"/>
      <c r="BIN112" s="33"/>
      <c r="BIX112" s="33"/>
      <c r="BJH112" s="33"/>
      <c r="BJR112" s="33"/>
      <c r="BKB112" s="33"/>
      <c r="BKL112" s="33"/>
      <c r="BKV112" s="33"/>
      <c r="BLF112" s="33"/>
      <c r="BLP112" s="33"/>
      <c r="BLZ112" s="33"/>
      <c r="BMJ112" s="33"/>
      <c r="BMT112" s="33"/>
      <c r="BND112" s="33"/>
      <c r="BNN112" s="33"/>
      <c r="BNX112" s="33"/>
      <c r="BOH112" s="33"/>
      <c r="BOR112" s="33"/>
      <c r="BPB112" s="33"/>
      <c r="BPL112" s="33"/>
      <c r="BPV112" s="33"/>
      <c r="BQF112" s="33"/>
      <c r="BQP112" s="33"/>
      <c r="BQZ112" s="33"/>
      <c r="BRJ112" s="33"/>
      <c r="BRT112" s="33"/>
      <c r="BSD112" s="33"/>
      <c r="BSN112" s="33"/>
      <c r="BSX112" s="33"/>
      <c r="BTH112" s="33"/>
      <c r="BTR112" s="33"/>
      <c r="BUB112" s="33"/>
      <c r="BUL112" s="33"/>
      <c r="BUV112" s="33"/>
      <c r="BVF112" s="33"/>
      <c r="BVP112" s="33"/>
      <c r="BVZ112" s="33"/>
      <c r="BWJ112" s="33"/>
      <c r="BWT112" s="33"/>
      <c r="BXD112" s="33"/>
      <c r="BXN112" s="33"/>
      <c r="BXX112" s="33"/>
      <c r="BYH112" s="33"/>
      <c r="BYR112" s="33"/>
      <c r="BZB112" s="33"/>
      <c r="BZL112" s="33"/>
      <c r="BZV112" s="33"/>
      <c r="CAF112" s="33"/>
      <c r="CAP112" s="33"/>
      <c r="CAZ112" s="33"/>
      <c r="CBJ112" s="33"/>
      <c r="CBT112" s="33"/>
      <c r="CCD112" s="33"/>
      <c r="CCN112" s="33"/>
      <c r="CCX112" s="33"/>
      <c r="CDH112" s="33"/>
      <c r="CDR112" s="33"/>
      <c r="CEB112" s="33"/>
      <c r="CEL112" s="33"/>
      <c r="CEV112" s="33"/>
      <c r="CFF112" s="33"/>
      <c r="CFP112" s="33"/>
      <c r="CFZ112" s="33"/>
      <c r="CGJ112" s="33"/>
      <c r="CGT112" s="33"/>
      <c r="CHD112" s="33"/>
      <c r="CHN112" s="33"/>
      <c r="CHX112" s="33"/>
      <c r="CIH112" s="33"/>
      <c r="CIR112" s="33"/>
      <c r="CJB112" s="33"/>
      <c r="CJL112" s="33"/>
      <c r="CJV112" s="33"/>
      <c r="CKF112" s="33"/>
      <c r="CKP112" s="33"/>
      <c r="CKZ112" s="33"/>
      <c r="CLJ112" s="33"/>
      <c r="CLT112" s="33"/>
      <c r="CMD112" s="33"/>
      <c r="CMN112" s="33"/>
      <c r="CMX112" s="33"/>
      <c r="CNH112" s="33"/>
      <c r="CNR112" s="33"/>
      <c r="COB112" s="33"/>
      <c r="COL112" s="33"/>
      <c r="COV112" s="33"/>
      <c r="CPF112" s="33"/>
      <c r="CPP112" s="33"/>
      <c r="CPZ112" s="33"/>
      <c r="CQJ112" s="33"/>
      <c r="CQT112" s="33"/>
      <c r="CRD112" s="33"/>
      <c r="CRN112" s="33"/>
      <c r="CRX112" s="33"/>
      <c r="CSH112" s="33"/>
      <c r="CSR112" s="33"/>
      <c r="CTB112" s="33"/>
      <c r="CTL112" s="33"/>
      <c r="CTV112" s="33"/>
    </row>
    <row r="113" s="16" customFormat="1" customHeight="1" spans="1:1020 1030:2040 2050:2570">
      <c r="A113" s="57"/>
      <c r="B113" s="52"/>
      <c r="C113" s="52"/>
      <c r="D113" s="52"/>
      <c r="E113" s="52"/>
      <c r="F113" s="58" t="str">
        <f>IFERROR(VLOOKUP(E113,日报!E:G,2,0),"")</f>
        <v/>
      </c>
      <c r="G113" s="52"/>
      <c r="H113" s="53" t="str">
        <f>IFERROR(VLOOKUP(E113,基础数据!$E$4:$H$4,4,0),"")</f>
        <v/>
      </c>
      <c r="I113" s="53" t="str">
        <f>IFERROR(VLOOKUP(E113,基础数据!$E$4:$H$4,3,0),"")</f>
        <v/>
      </c>
      <c r="J113" s="52"/>
      <c r="K113" s="54" t="str">
        <f t="shared" si="1"/>
        <v/>
      </c>
      <c r="T113" s="33"/>
      <c r="AD113" s="33"/>
      <c r="AN113" s="33"/>
      <c r="AX113" s="33"/>
      <c r="BH113" s="33"/>
      <c r="BR113" s="33"/>
      <c r="CB113" s="33"/>
      <c r="CL113" s="33"/>
      <c r="CV113" s="33"/>
      <c r="DF113" s="33"/>
      <c r="DP113" s="33"/>
      <c r="DZ113" s="33"/>
      <c r="EJ113" s="33"/>
      <c r="ET113" s="33"/>
      <c r="FD113" s="33"/>
      <c r="FN113" s="33"/>
      <c r="FX113" s="33"/>
      <c r="GH113" s="33"/>
      <c r="GR113" s="33"/>
      <c r="HB113" s="33"/>
      <c r="HL113" s="33"/>
      <c r="HV113" s="33"/>
      <c r="IF113" s="33"/>
      <c r="IP113" s="33"/>
      <c r="IZ113" s="33"/>
      <c r="JJ113" s="33"/>
      <c r="JT113" s="33"/>
      <c r="KD113" s="33"/>
      <c r="KN113" s="33"/>
      <c r="KX113" s="33"/>
      <c r="LH113" s="33"/>
      <c r="LR113" s="33"/>
      <c r="MB113" s="33"/>
      <c r="ML113" s="33"/>
      <c r="MV113" s="33"/>
      <c r="NF113" s="33"/>
      <c r="NP113" s="33"/>
      <c r="NZ113" s="33"/>
      <c r="OJ113" s="33"/>
      <c r="OT113" s="33"/>
      <c r="PD113" s="33"/>
      <c r="PN113" s="33"/>
      <c r="PX113" s="33"/>
      <c r="QH113" s="33"/>
      <c r="QR113" s="33"/>
      <c r="RB113" s="33"/>
      <c r="RL113" s="33"/>
      <c r="RV113" s="33"/>
      <c r="SF113" s="33"/>
      <c r="SP113" s="33"/>
      <c r="SZ113" s="33"/>
      <c r="TJ113" s="33"/>
      <c r="TT113" s="33"/>
      <c r="UD113" s="33"/>
      <c r="UN113" s="33"/>
      <c r="UX113" s="33"/>
      <c r="VH113" s="33"/>
      <c r="VR113" s="33"/>
      <c r="WB113" s="33"/>
      <c r="WL113" s="33"/>
      <c r="WV113" s="33"/>
      <c r="XF113" s="33"/>
      <c r="XP113" s="33"/>
      <c r="XZ113" s="33"/>
      <c r="YJ113" s="33"/>
      <c r="YT113" s="33"/>
      <c r="ZD113" s="33"/>
      <c r="ZN113" s="33"/>
      <c r="ZX113" s="33"/>
      <c r="AAH113" s="33"/>
      <c r="AAR113" s="33"/>
      <c r="ABB113" s="33"/>
      <c r="ABL113" s="33"/>
      <c r="ABV113" s="33"/>
      <c r="ACF113" s="33"/>
      <c r="ACP113" s="33"/>
      <c r="ACZ113" s="33"/>
      <c r="ADJ113" s="33"/>
      <c r="ADT113" s="33"/>
      <c r="AED113" s="33"/>
      <c r="AEN113" s="33"/>
      <c r="AEX113" s="33"/>
      <c r="AFH113" s="33"/>
      <c r="AFR113" s="33"/>
      <c r="AGB113" s="33"/>
      <c r="AGL113" s="33"/>
      <c r="AGV113" s="33"/>
      <c r="AHF113" s="33"/>
      <c r="AHP113" s="33"/>
      <c r="AHZ113" s="33"/>
      <c r="AIJ113" s="33"/>
      <c r="AIT113" s="33"/>
      <c r="AJD113" s="33"/>
      <c r="AJN113" s="33"/>
      <c r="AJX113" s="33"/>
      <c r="AKH113" s="33"/>
      <c r="AKR113" s="33"/>
      <c r="ALB113" s="33"/>
      <c r="ALL113" s="33"/>
      <c r="ALV113" s="33"/>
      <c r="AMF113" s="33"/>
      <c r="AMP113" s="33"/>
      <c r="AMZ113" s="33"/>
      <c r="ANJ113" s="33"/>
      <c r="ANT113" s="33"/>
      <c r="AOD113" s="33"/>
      <c r="AON113" s="33"/>
      <c r="AOX113" s="33"/>
      <c r="APH113" s="33"/>
      <c r="APR113" s="33"/>
      <c r="AQB113" s="33"/>
      <c r="AQL113" s="33"/>
      <c r="AQV113" s="33"/>
      <c r="ARF113" s="33"/>
      <c r="ARP113" s="33"/>
      <c r="ARZ113" s="33"/>
      <c r="ASJ113" s="33"/>
      <c r="AST113" s="33"/>
      <c r="ATD113" s="33"/>
      <c r="ATN113" s="33"/>
      <c r="ATX113" s="33"/>
      <c r="AUH113" s="33"/>
      <c r="AUR113" s="33"/>
      <c r="AVB113" s="33"/>
      <c r="AVL113" s="33"/>
      <c r="AVV113" s="33"/>
      <c r="AWF113" s="33"/>
      <c r="AWP113" s="33"/>
      <c r="AWZ113" s="33"/>
      <c r="AXJ113" s="33"/>
      <c r="AXT113" s="33"/>
      <c r="AYD113" s="33"/>
      <c r="AYN113" s="33"/>
      <c r="AYX113" s="33"/>
      <c r="AZH113" s="33"/>
      <c r="AZR113" s="33"/>
      <c r="BAB113" s="33"/>
      <c r="BAL113" s="33"/>
      <c r="BAV113" s="33"/>
      <c r="BBF113" s="33"/>
      <c r="BBP113" s="33"/>
      <c r="BBZ113" s="33"/>
      <c r="BCJ113" s="33"/>
      <c r="BCT113" s="33"/>
      <c r="BDD113" s="33"/>
      <c r="BDN113" s="33"/>
      <c r="BDX113" s="33"/>
      <c r="BEH113" s="33"/>
      <c r="BER113" s="33"/>
      <c r="BFB113" s="33"/>
      <c r="BFL113" s="33"/>
      <c r="BFV113" s="33"/>
      <c r="BGF113" s="33"/>
      <c r="BGP113" s="33"/>
      <c r="BGZ113" s="33"/>
      <c r="BHJ113" s="33"/>
      <c r="BHT113" s="33"/>
      <c r="BID113" s="33"/>
      <c r="BIN113" s="33"/>
      <c r="BIX113" s="33"/>
      <c r="BJH113" s="33"/>
      <c r="BJR113" s="33"/>
      <c r="BKB113" s="33"/>
      <c r="BKL113" s="33"/>
      <c r="BKV113" s="33"/>
      <c r="BLF113" s="33"/>
      <c r="BLP113" s="33"/>
      <c r="BLZ113" s="33"/>
      <c r="BMJ113" s="33"/>
      <c r="BMT113" s="33"/>
      <c r="BND113" s="33"/>
      <c r="BNN113" s="33"/>
      <c r="BNX113" s="33"/>
      <c r="BOH113" s="33"/>
      <c r="BOR113" s="33"/>
      <c r="BPB113" s="33"/>
      <c r="BPL113" s="33"/>
      <c r="BPV113" s="33"/>
      <c r="BQF113" s="33"/>
      <c r="BQP113" s="33"/>
      <c r="BQZ113" s="33"/>
      <c r="BRJ113" s="33"/>
      <c r="BRT113" s="33"/>
      <c r="BSD113" s="33"/>
      <c r="BSN113" s="33"/>
      <c r="BSX113" s="33"/>
      <c r="BTH113" s="33"/>
      <c r="BTR113" s="33"/>
      <c r="BUB113" s="33"/>
      <c r="BUL113" s="33"/>
      <c r="BUV113" s="33"/>
      <c r="BVF113" s="33"/>
      <c r="BVP113" s="33"/>
      <c r="BVZ113" s="33"/>
      <c r="BWJ113" s="33"/>
      <c r="BWT113" s="33"/>
      <c r="BXD113" s="33"/>
      <c r="BXN113" s="33"/>
      <c r="BXX113" s="33"/>
      <c r="BYH113" s="33"/>
      <c r="BYR113" s="33"/>
      <c r="BZB113" s="33"/>
      <c r="BZL113" s="33"/>
      <c r="BZV113" s="33"/>
      <c r="CAF113" s="33"/>
      <c r="CAP113" s="33"/>
      <c r="CAZ113" s="33"/>
      <c r="CBJ113" s="33"/>
      <c r="CBT113" s="33"/>
      <c r="CCD113" s="33"/>
      <c r="CCN113" s="33"/>
      <c r="CCX113" s="33"/>
      <c r="CDH113" s="33"/>
      <c r="CDR113" s="33"/>
      <c r="CEB113" s="33"/>
      <c r="CEL113" s="33"/>
      <c r="CEV113" s="33"/>
      <c r="CFF113" s="33"/>
      <c r="CFP113" s="33"/>
      <c r="CFZ113" s="33"/>
      <c r="CGJ113" s="33"/>
      <c r="CGT113" s="33"/>
      <c r="CHD113" s="33"/>
      <c r="CHN113" s="33"/>
      <c r="CHX113" s="33"/>
      <c r="CIH113" s="33"/>
      <c r="CIR113" s="33"/>
      <c r="CJB113" s="33"/>
      <c r="CJL113" s="33"/>
      <c r="CJV113" s="33"/>
      <c r="CKF113" s="33"/>
      <c r="CKP113" s="33"/>
      <c r="CKZ113" s="33"/>
      <c r="CLJ113" s="33"/>
      <c r="CLT113" s="33"/>
      <c r="CMD113" s="33"/>
      <c r="CMN113" s="33"/>
      <c r="CMX113" s="33"/>
      <c r="CNH113" s="33"/>
      <c r="CNR113" s="33"/>
      <c r="COB113" s="33"/>
      <c r="COL113" s="33"/>
      <c r="COV113" s="33"/>
      <c r="CPF113" s="33"/>
      <c r="CPP113" s="33"/>
      <c r="CPZ113" s="33"/>
      <c r="CQJ113" s="33"/>
      <c r="CQT113" s="33"/>
      <c r="CRD113" s="33"/>
      <c r="CRN113" s="33"/>
      <c r="CRX113" s="33"/>
      <c r="CSH113" s="33"/>
      <c r="CSR113" s="33"/>
      <c r="CTB113" s="33"/>
      <c r="CTL113" s="33"/>
      <c r="CTV113" s="33"/>
    </row>
    <row r="114" s="16" customFormat="1" customHeight="1" spans="1:1020 1030:2040 2050:2570">
      <c r="A114" s="57"/>
      <c r="B114" s="52"/>
      <c r="C114" s="52"/>
      <c r="D114" s="52"/>
      <c r="E114" s="52"/>
      <c r="F114" s="58" t="str">
        <f>IFERROR(VLOOKUP(E114,日报!E:G,2,0),"")</f>
        <v/>
      </c>
      <c r="G114" s="52"/>
      <c r="H114" s="53" t="str">
        <f>IFERROR(VLOOKUP(E114,基础数据!$E$4:$H$4,4,0),"")</f>
        <v/>
      </c>
      <c r="I114" s="53" t="str">
        <f>IFERROR(VLOOKUP(E114,基础数据!$E$4:$H$4,3,0),"")</f>
        <v/>
      </c>
      <c r="J114" s="52"/>
      <c r="K114" s="54" t="str">
        <f t="shared" si="1"/>
        <v/>
      </c>
      <c r="T114" s="33"/>
      <c r="AD114" s="33"/>
      <c r="AN114" s="33"/>
      <c r="AX114" s="33"/>
      <c r="BH114" s="33"/>
      <c r="BR114" s="33"/>
      <c r="CB114" s="33"/>
      <c r="CL114" s="33"/>
      <c r="CV114" s="33"/>
      <c r="DF114" s="33"/>
      <c r="DP114" s="33"/>
      <c r="DZ114" s="33"/>
      <c r="EJ114" s="33"/>
      <c r="ET114" s="33"/>
      <c r="FD114" s="33"/>
      <c r="FN114" s="33"/>
      <c r="FX114" s="33"/>
      <c r="GH114" s="33"/>
      <c r="GR114" s="33"/>
      <c r="HB114" s="33"/>
      <c r="HL114" s="33"/>
      <c r="HV114" s="33"/>
      <c r="IF114" s="33"/>
      <c r="IP114" s="33"/>
      <c r="IZ114" s="33"/>
      <c r="JJ114" s="33"/>
      <c r="JT114" s="33"/>
      <c r="KD114" s="33"/>
      <c r="KN114" s="33"/>
      <c r="KX114" s="33"/>
      <c r="LH114" s="33"/>
      <c r="LR114" s="33"/>
      <c r="MB114" s="33"/>
      <c r="ML114" s="33"/>
      <c r="MV114" s="33"/>
      <c r="NF114" s="33"/>
      <c r="NP114" s="33"/>
      <c r="NZ114" s="33"/>
      <c r="OJ114" s="33"/>
      <c r="OT114" s="33"/>
      <c r="PD114" s="33"/>
      <c r="PN114" s="33"/>
      <c r="PX114" s="33"/>
      <c r="QH114" s="33"/>
      <c r="QR114" s="33"/>
      <c r="RB114" s="33"/>
      <c r="RL114" s="33"/>
      <c r="RV114" s="33"/>
      <c r="SF114" s="33"/>
      <c r="SP114" s="33"/>
      <c r="SZ114" s="33"/>
      <c r="TJ114" s="33"/>
      <c r="TT114" s="33"/>
      <c r="UD114" s="33"/>
      <c r="UN114" s="33"/>
      <c r="UX114" s="33"/>
      <c r="VH114" s="33"/>
      <c r="VR114" s="33"/>
      <c r="WB114" s="33"/>
      <c r="WL114" s="33"/>
      <c r="WV114" s="33"/>
      <c r="XF114" s="33"/>
      <c r="XP114" s="33"/>
      <c r="XZ114" s="33"/>
      <c r="YJ114" s="33"/>
      <c r="YT114" s="33"/>
      <c r="ZD114" s="33"/>
      <c r="ZN114" s="33"/>
      <c r="ZX114" s="33"/>
      <c r="AAH114" s="33"/>
      <c r="AAR114" s="33"/>
      <c r="ABB114" s="33"/>
      <c r="ABL114" s="33"/>
      <c r="ABV114" s="33"/>
      <c r="ACF114" s="33"/>
      <c r="ACP114" s="33"/>
      <c r="ACZ114" s="33"/>
      <c r="ADJ114" s="33"/>
      <c r="ADT114" s="33"/>
      <c r="AED114" s="33"/>
      <c r="AEN114" s="33"/>
      <c r="AEX114" s="33"/>
      <c r="AFH114" s="33"/>
      <c r="AFR114" s="33"/>
      <c r="AGB114" s="33"/>
      <c r="AGL114" s="33"/>
      <c r="AGV114" s="33"/>
      <c r="AHF114" s="33"/>
      <c r="AHP114" s="33"/>
      <c r="AHZ114" s="33"/>
      <c r="AIJ114" s="33"/>
      <c r="AIT114" s="33"/>
      <c r="AJD114" s="33"/>
      <c r="AJN114" s="33"/>
      <c r="AJX114" s="33"/>
      <c r="AKH114" s="33"/>
      <c r="AKR114" s="33"/>
      <c r="ALB114" s="33"/>
      <c r="ALL114" s="33"/>
      <c r="ALV114" s="33"/>
      <c r="AMF114" s="33"/>
      <c r="AMP114" s="33"/>
      <c r="AMZ114" s="33"/>
      <c r="ANJ114" s="33"/>
      <c r="ANT114" s="33"/>
      <c r="AOD114" s="33"/>
      <c r="AON114" s="33"/>
      <c r="AOX114" s="33"/>
      <c r="APH114" s="33"/>
      <c r="APR114" s="33"/>
      <c r="AQB114" s="33"/>
      <c r="AQL114" s="33"/>
      <c r="AQV114" s="33"/>
      <c r="ARF114" s="33"/>
      <c r="ARP114" s="33"/>
      <c r="ARZ114" s="33"/>
      <c r="ASJ114" s="33"/>
      <c r="AST114" s="33"/>
      <c r="ATD114" s="33"/>
      <c r="ATN114" s="33"/>
      <c r="ATX114" s="33"/>
      <c r="AUH114" s="33"/>
      <c r="AUR114" s="33"/>
      <c r="AVB114" s="33"/>
      <c r="AVL114" s="33"/>
      <c r="AVV114" s="33"/>
      <c r="AWF114" s="33"/>
      <c r="AWP114" s="33"/>
      <c r="AWZ114" s="33"/>
      <c r="AXJ114" s="33"/>
      <c r="AXT114" s="33"/>
      <c r="AYD114" s="33"/>
      <c r="AYN114" s="33"/>
      <c r="AYX114" s="33"/>
      <c r="AZH114" s="33"/>
      <c r="AZR114" s="33"/>
      <c r="BAB114" s="33"/>
      <c r="BAL114" s="33"/>
      <c r="BAV114" s="33"/>
      <c r="BBF114" s="33"/>
      <c r="BBP114" s="33"/>
      <c r="BBZ114" s="33"/>
      <c r="BCJ114" s="33"/>
      <c r="BCT114" s="33"/>
      <c r="BDD114" s="33"/>
      <c r="BDN114" s="33"/>
      <c r="BDX114" s="33"/>
      <c r="BEH114" s="33"/>
      <c r="BER114" s="33"/>
      <c r="BFB114" s="33"/>
      <c r="BFL114" s="33"/>
      <c r="BFV114" s="33"/>
      <c r="BGF114" s="33"/>
      <c r="BGP114" s="33"/>
      <c r="BGZ114" s="33"/>
      <c r="BHJ114" s="33"/>
      <c r="BHT114" s="33"/>
      <c r="BID114" s="33"/>
      <c r="BIN114" s="33"/>
      <c r="BIX114" s="33"/>
      <c r="BJH114" s="33"/>
      <c r="BJR114" s="33"/>
      <c r="BKB114" s="33"/>
      <c r="BKL114" s="33"/>
      <c r="BKV114" s="33"/>
      <c r="BLF114" s="33"/>
      <c r="BLP114" s="33"/>
      <c r="BLZ114" s="33"/>
      <c r="BMJ114" s="33"/>
      <c r="BMT114" s="33"/>
      <c r="BND114" s="33"/>
      <c r="BNN114" s="33"/>
      <c r="BNX114" s="33"/>
      <c r="BOH114" s="33"/>
      <c r="BOR114" s="33"/>
      <c r="BPB114" s="33"/>
      <c r="BPL114" s="33"/>
      <c r="BPV114" s="33"/>
      <c r="BQF114" s="33"/>
      <c r="BQP114" s="33"/>
      <c r="BQZ114" s="33"/>
      <c r="BRJ114" s="33"/>
      <c r="BRT114" s="33"/>
      <c r="BSD114" s="33"/>
      <c r="BSN114" s="33"/>
      <c r="BSX114" s="33"/>
      <c r="BTH114" s="33"/>
      <c r="BTR114" s="33"/>
      <c r="BUB114" s="33"/>
      <c r="BUL114" s="33"/>
      <c r="BUV114" s="33"/>
      <c r="BVF114" s="33"/>
      <c r="BVP114" s="33"/>
      <c r="BVZ114" s="33"/>
      <c r="BWJ114" s="33"/>
      <c r="BWT114" s="33"/>
      <c r="BXD114" s="33"/>
      <c r="BXN114" s="33"/>
      <c r="BXX114" s="33"/>
      <c r="BYH114" s="33"/>
      <c r="BYR114" s="33"/>
      <c r="BZB114" s="33"/>
      <c r="BZL114" s="33"/>
      <c r="BZV114" s="33"/>
      <c r="CAF114" s="33"/>
      <c r="CAP114" s="33"/>
      <c r="CAZ114" s="33"/>
      <c r="CBJ114" s="33"/>
      <c r="CBT114" s="33"/>
      <c r="CCD114" s="33"/>
      <c r="CCN114" s="33"/>
      <c r="CCX114" s="33"/>
      <c r="CDH114" s="33"/>
      <c r="CDR114" s="33"/>
      <c r="CEB114" s="33"/>
      <c r="CEL114" s="33"/>
      <c r="CEV114" s="33"/>
      <c r="CFF114" s="33"/>
      <c r="CFP114" s="33"/>
      <c r="CFZ114" s="33"/>
      <c r="CGJ114" s="33"/>
      <c r="CGT114" s="33"/>
      <c r="CHD114" s="33"/>
      <c r="CHN114" s="33"/>
      <c r="CHX114" s="33"/>
      <c r="CIH114" s="33"/>
      <c r="CIR114" s="33"/>
      <c r="CJB114" s="33"/>
      <c r="CJL114" s="33"/>
      <c r="CJV114" s="33"/>
      <c r="CKF114" s="33"/>
      <c r="CKP114" s="33"/>
      <c r="CKZ114" s="33"/>
      <c r="CLJ114" s="33"/>
      <c r="CLT114" s="33"/>
      <c r="CMD114" s="33"/>
      <c r="CMN114" s="33"/>
      <c r="CMX114" s="33"/>
      <c r="CNH114" s="33"/>
      <c r="CNR114" s="33"/>
      <c r="COB114" s="33"/>
      <c r="COL114" s="33"/>
      <c r="COV114" s="33"/>
      <c r="CPF114" s="33"/>
      <c r="CPP114" s="33"/>
      <c r="CPZ114" s="33"/>
      <c r="CQJ114" s="33"/>
      <c r="CQT114" s="33"/>
      <c r="CRD114" s="33"/>
      <c r="CRN114" s="33"/>
      <c r="CRX114" s="33"/>
      <c r="CSH114" s="33"/>
      <c r="CSR114" s="33"/>
      <c r="CTB114" s="33"/>
      <c r="CTL114" s="33"/>
      <c r="CTV114" s="33"/>
    </row>
    <row r="115" s="16" customFormat="1" customHeight="1" spans="1:1020 1030:2040 2050:2570">
      <c r="A115" s="57"/>
      <c r="B115" s="52"/>
      <c r="C115" s="52"/>
      <c r="D115" s="52"/>
      <c r="E115" s="52"/>
      <c r="F115" s="58" t="str">
        <f>IFERROR(VLOOKUP(E115,日报!E:G,2,0),"")</f>
        <v/>
      </c>
      <c r="G115" s="52"/>
      <c r="H115" s="53" t="str">
        <f>IFERROR(VLOOKUP(E115,基础数据!$E$4:$H$4,4,0),"")</f>
        <v/>
      </c>
      <c r="I115" s="53" t="str">
        <f>IFERROR(VLOOKUP(E115,基础数据!$E$4:$H$4,3,0),"")</f>
        <v/>
      </c>
      <c r="J115" s="52"/>
      <c r="K115" s="54" t="str">
        <f t="shared" si="1"/>
        <v/>
      </c>
      <c r="T115" s="33"/>
      <c r="AD115" s="33"/>
      <c r="AN115" s="33"/>
      <c r="AX115" s="33"/>
      <c r="BH115" s="33"/>
      <c r="BR115" s="33"/>
      <c r="CB115" s="33"/>
      <c r="CL115" s="33"/>
      <c r="CV115" s="33"/>
      <c r="DF115" s="33"/>
      <c r="DP115" s="33"/>
      <c r="DZ115" s="33"/>
      <c r="EJ115" s="33"/>
      <c r="ET115" s="33"/>
      <c r="FD115" s="33"/>
      <c r="FN115" s="33"/>
      <c r="FX115" s="33"/>
      <c r="GH115" s="33"/>
      <c r="GR115" s="33"/>
      <c r="HB115" s="33"/>
      <c r="HL115" s="33"/>
      <c r="HV115" s="33"/>
      <c r="IF115" s="33"/>
      <c r="IP115" s="33"/>
      <c r="IZ115" s="33"/>
      <c r="JJ115" s="33"/>
      <c r="JT115" s="33"/>
      <c r="KD115" s="33"/>
      <c r="KN115" s="33"/>
      <c r="KX115" s="33"/>
      <c r="LH115" s="33"/>
      <c r="LR115" s="33"/>
      <c r="MB115" s="33"/>
      <c r="ML115" s="33"/>
      <c r="MV115" s="33"/>
      <c r="NF115" s="33"/>
      <c r="NP115" s="33"/>
      <c r="NZ115" s="33"/>
      <c r="OJ115" s="33"/>
      <c r="OT115" s="33"/>
      <c r="PD115" s="33"/>
      <c r="PN115" s="33"/>
      <c r="PX115" s="33"/>
      <c r="QH115" s="33"/>
      <c r="QR115" s="33"/>
      <c r="RB115" s="33"/>
      <c r="RL115" s="33"/>
      <c r="RV115" s="33"/>
      <c r="SF115" s="33"/>
      <c r="SP115" s="33"/>
      <c r="SZ115" s="33"/>
      <c r="TJ115" s="33"/>
      <c r="TT115" s="33"/>
      <c r="UD115" s="33"/>
      <c r="UN115" s="33"/>
      <c r="UX115" s="33"/>
      <c r="VH115" s="33"/>
      <c r="VR115" s="33"/>
      <c r="WB115" s="33"/>
      <c r="WL115" s="33"/>
      <c r="WV115" s="33"/>
      <c r="XF115" s="33"/>
      <c r="XP115" s="33"/>
      <c r="XZ115" s="33"/>
      <c r="YJ115" s="33"/>
      <c r="YT115" s="33"/>
      <c r="ZD115" s="33"/>
      <c r="ZN115" s="33"/>
      <c r="ZX115" s="33"/>
      <c r="AAH115" s="33"/>
      <c r="AAR115" s="33"/>
      <c r="ABB115" s="33"/>
      <c r="ABL115" s="33"/>
      <c r="ABV115" s="33"/>
      <c r="ACF115" s="33"/>
      <c r="ACP115" s="33"/>
      <c r="ACZ115" s="33"/>
      <c r="ADJ115" s="33"/>
      <c r="ADT115" s="33"/>
      <c r="AED115" s="33"/>
      <c r="AEN115" s="33"/>
      <c r="AEX115" s="33"/>
      <c r="AFH115" s="33"/>
      <c r="AFR115" s="33"/>
      <c r="AGB115" s="33"/>
      <c r="AGL115" s="33"/>
      <c r="AGV115" s="33"/>
      <c r="AHF115" s="33"/>
      <c r="AHP115" s="33"/>
      <c r="AHZ115" s="33"/>
      <c r="AIJ115" s="33"/>
      <c r="AIT115" s="33"/>
      <c r="AJD115" s="33"/>
      <c r="AJN115" s="33"/>
      <c r="AJX115" s="33"/>
      <c r="AKH115" s="33"/>
      <c r="AKR115" s="33"/>
      <c r="ALB115" s="33"/>
      <c r="ALL115" s="33"/>
      <c r="ALV115" s="33"/>
      <c r="AMF115" s="33"/>
      <c r="AMP115" s="33"/>
      <c r="AMZ115" s="33"/>
      <c r="ANJ115" s="33"/>
      <c r="ANT115" s="33"/>
      <c r="AOD115" s="33"/>
      <c r="AON115" s="33"/>
      <c r="AOX115" s="33"/>
      <c r="APH115" s="33"/>
      <c r="APR115" s="33"/>
      <c r="AQB115" s="33"/>
      <c r="AQL115" s="33"/>
      <c r="AQV115" s="33"/>
      <c r="ARF115" s="33"/>
      <c r="ARP115" s="33"/>
      <c r="ARZ115" s="33"/>
      <c r="ASJ115" s="33"/>
      <c r="AST115" s="33"/>
      <c r="ATD115" s="33"/>
      <c r="ATN115" s="33"/>
      <c r="ATX115" s="33"/>
      <c r="AUH115" s="33"/>
      <c r="AUR115" s="33"/>
      <c r="AVB115" s="33"/>
      <c r="AVL115" s="33"/>
      <c r="AVV115" s="33"/>
      <c r="AWF115" s="33"/>
      <c r="AWP115" s="33"/>
      <c r="AWZ115" s="33"/>
      <c r="AXJ115" s="33"/>
      <c r="AXT115" s="33"/>
      <c r="AYD115" s="33"/>
      <c r="AYN115" s="33"/>
      <c r="AYX115" s="33"/>
      <c r="AZH115" s="33"/>
      <c r="AZR115" s="33"/>
      <c r="BAB115" s="33"/>
      <c r="BAL115" s="33"/>
      <c r="BAV115" s="33"/>
      <c r="BBF115" s="33"/>
      <c r="BBP115" s="33"/>
      <c r="BBZ115" s="33"/>
      <c r="BCJ115" s="33"/>
      <c r="BCT115" s="33"/>
      <c r="BDD115" s="33"/>
      <c r="BDN115" s="33"/>
      <c r="BDX115" s="33"/>
      <c r="BEH115" s="33"/>
      <c r="BER115" s="33"/>
      <c r="BFB115" s="33"/>
      <c r="BFL115" s="33"/>
      <c r="BFV115" s="33"/>
      <c r="BGF115" s="33"/>
      <c r="BGP115" s="33"/>
      <c r="BGZ115" s="33"/>
      <c r="BHJ115" s="33"/>
      <c r="BHT115" s="33"/>
      <c r="BID115" s="33"/>
      <c r="BIN115" s="33"/>
      <c r="BIX115" s="33"/>
      <c r="BJH115" s="33"/>
      <c r="BJR115" s="33"/>
      <c r="BKB115" s="33"/>
      <c r="BKL115" s="33"/>
      <c r="BKV115" s="33"/>
      <c r="BLF115" s="33"/>
      <c r="BLP115" s="33"/>
      <c r="BLZ115" s="33"/>
      <c r="BMJ115" s="33"/>
      <c r="BMT115" s="33"/>
      <c r="BND115" s="33"/>
      <c r="BNN115" s="33"/>
      <c r="BNX115" s="33"/>
      <c r="BOH115" s="33"/>
      <c r="BOR115" s="33"/>
      <c r="BPB115" s="33"/>
      <c r="BPL115" s="33"/>
      <c r="BPV115" s="33"/>
      <c r="BQF115" s="33"/>
      <c r="BQP115" s="33"/>
      <c r="BQZ115" s="33"/>
      <c r="BRJ115" s="33"/>
      <c r="BRT115" s="33"/>
      <c r="BSD115" s="33"/>
      <c r="BSN115" s="33"/>
      <c r="BSX115" s="33"/>
      <c r="BTH115" s="33"/>
      <c r="BTR115" s="33"/>
      <c r="BUB115" s="33"/>
      <c r="BUL115" s="33"/>
      <c r="BUV115" s="33"/>
      <c r="BVF115" s="33"/>
      <c r="BVP115" s="33"/>
      <c r="BVZ115" s="33"/>
      <c r="BWJ115" s="33"/>
      <c r="BWT115" s="33"/>
      <c r="BXD115" s="33"/>
      <c r="BXN115" s="33"/>
      <c r="BXX115" s="33"/>
      <c r="BYH115" s="33"/>
      <c r="BYR115" s="33"/>
      <c r="BZB115" s="33"/>
      <c r="BZL115" s="33"/>
      <c r="BZV115" s="33"/>
      <c r="CAF115" s="33"/>
      <c r="CAP115" s="33"/>
      <c r="CAZ115" s="33"/>
      <c r="CBJ115" s="33"/>
      <c r="CBT115" s="33"/>
      <c r="CCD115" s="33"/>
      <c r="CCN115" s="33"/>
      <c r="CCX115" s="33"/>
      <c r="CDH115" s="33"/>
      <c r="CDR115" s="33"/>
      <c r="CEB115" s="33"/>
      <c r="CEL115" s="33"/>
      <c r="CEV115" s="33"/>
      <c r="CFF115" s="33"/>
      <c r="CFP115" s="33"/>
      <c r="CFZ115" s="33"/>
      <c r="CGJ115" s="33"/>
      <c r="CGT115" s="33"/>
      <c r="CHD115" s="33"/>
      <c r="CHN115" s="33"/>
      <c r="CHX115" s="33"/>
      <c r="CIH115" s="33"/>
      <c r="CIR115" s="33"/>
      <c r="CJB115" s="33"/>
      <c r="CJL115" s="33"/>
      <c r="CJV115" s="33"/>
      <c r="CKF115" s="33"/>
      <c r="CKP115" s="33"/>
      <c r="CKZ115" s="33"/>
      <c r="CLJ115" s="33"/>
      <c r="CLT115" s="33"/>
      <c r="CMD115" s="33"/>
      <c r="CMN115" s="33"/>
      <c r="CMX115" s="33"/>
      <c r="CNH115" s="33"/>
      <c r="CNR115" s="33"/>
      <c r="COB115" s="33"/>
      <c r="COL115" s="33"/>
      <c r="COV115" s="33"/>
      <c r="CPF115" s="33"/>
      <c r="CPP115" s="33"/>
      <c r="CPZ115" s="33"/>
      <c r="CQJ115" s="33"/>
      <c r="CQT115" s="33"/>
      <c r="CRD115" s="33"/>
      <c r="CRN115" s="33"/>
      <c r="CRX115" s="33"/>
      <c r="CSH115" s="33"/>
      <c r="CSR115" s="33"/>
      <c r="CTB115" s="33"/>
      <c r="CTL115" s="33"/>
      <c r="CTV115" s="33"/>
    </row>
    <row r="116" s="16" customFormat="1" customHeight="1" spans="1:1020 1030:2040 2050:2570">
      <c r="A116" s="57"/>
      <c r="B116" s="52"/>
      <c r="C116" s="52"/>
      <c r="D116" s="52"/>
      <c r="E116" s="52"/>
      <c r="F116" s="58" t="str">
        <f>IFERROR(VLOOKUP(E116,日报!E:G,2,0),"")</f>
        <v/>
      </c>
      <c r="G116" s="52"/>
      <c r="H116" s="53" t="str">
        <f>IFERROR(VLOOKUP(E116,基础数据!$E$4:$H$4,4,0),"")</f>
        <v/>
      </c>
      <c r="I116" s="53" t="str">
        <f>IFERROR(VLOOKUP(E116,基础数据!$E$4:$H$4,3,0),"")</f>
        <v/>
      </c>
      <c r="J116" s="52"/>
      <c r="K116" s="54" t="str">
        <f t="shared" si="1"/>
        <v/>
      </c>
      <c r="T116" s="33"/>
      <c r="AD116" s="33"/>
      <c r="AN116" s="33"/>
      <c r="AX116" s="33"/>
      <c r="BH116" s="33"/>
      <c r="BR116" s="33"/>
      <c r="CB116" s="33"/>
      <c r="CL116" s="33"/>
      <c r="CV116" s="33"/>
      <c r="DF116" s="33"/>
      <c r="DP116" s="33"/>
      <c r="DZ116" s="33"/>
      <c r="EJ116" s="33"/>
      <c r="ET116" s="33"/>
      <c r="FD116" s="33"/>
      <c r="FN116" s="33"/>
      <c r="FX116" s="33"/>
      <c r="GH116" s="33"/>
      <c r="GR116" s="33"/>
      <c r="HB116" s="33"/>
      <c r="HL116" s="33"/>
      <c r="HV116" s="33"/>
      <c r="IF116" s="33"/>
      <c r="IP116" s="33"/>
      <c r="IZ116" s="33"/>
      <c r="JJ116" s="33"/>
      <c r="JT116" s="33"/>
      <c r="KD116" s="33"/>
      <c r="KN116" s="33"/>
      <c r="KX116" s="33"/>
      <c r="LH116" s="33"/>
      <c r="LR116" s="33"/>
      <c r="MB116" s="33"/>
      <c r="ML116" s="33"/>
      <c r="MV116" s="33"/>
      <c r="NF116" s="33"/>
      <c r="NP116" s="33"/>
      <c r="NZ116" s="33"/>
      <c r="OJ116" s="33"/>
      <c r="OT116" s="33"/>
      <c r="PD116" s="33"/>
      <c r="PN116" s="33"/>
      <c r="PX116" s="33"/>
      <c r="QH116" s="33"/>
      <c r="QR116" s="33"/>
      <c r="RB116" s="33"/>
      <c r="RL116" s="33"/>
      <c r="RV116" s="33"/>
      <c r="SF116" s="33"/>
      <c r="SP116" s="33"/>
      <c r="SZ116" s="33"/>
      <c r="TJ116" s="33"/>
      <c r="TT116" s="33"/>
      <c r="UD116" s="33"/>
      <c r="UN116" s="33"/>
      <c r="UX116" s="33"/>
      <c r="VH116" s="33"/>
      <c r="VR116" s="33"/>
      <c r="WB116" s="33"/>
      <c r="WL116" s="33"/>
      <c r="WV116" s="33"/>
      <c r="XF116" s="33"/>
      <c r="XP116" s="33"/>
      <c r="XZ116" s="33"/>
      <c r="YJ116" s="33"/>
      <c r="YT116" s="33"/>
      <c r="ZD116" s="33"/>
      <c r="ZN116" s="33"/>
      <c r="ZX116" s="33"/>
      <c r="AAH116" s="33"/>
      <c r="AAR116" s="33"/>
      <c r="ABB116" s="33"/>
      <c r="ABL116" s="33"/>
      <c r="ABV116" s="33"/>
      <c r="ACF116" s="33"/>
      <c r="ACP116" s="33"/>
      <c r="ACZ116" s="33"/>
      <c r="ADJ116" s="33"/>
      <c r="ADT116" s="33"/>
      <c r="AED116" s="33"/>
      <c r="AEN116" s="33"/>
      <c r="AEX116" s="33"/>
      <c r="AFH116" s="33"/>
      <c r="AFR116" s="33"/>
      <c r="AGB116" s="33"/>
      <c r="AGL116" s="33"/>
      <c r="AGV116" s="33"/>
      <c r="AHF116" s="33"/>
      <c r="AHP116" s="33"/>
      <c r="AHZ116" s="33"/>
      <c r="AIJ116" s="33"/>
      <c r="AIT116" s="33"/>
      <c r="AJD116" s="33"/>
      <c r="AJN116" s="33"/>
      <c r="AJX116" s="33"/>
      <c r="AKH116" s="33"/>
      <c r="AKR116" s="33"/>
      <c r="ALB116" s="33"/>
      <c r="ALL116" s="33"/>
      <c r="ALV116" s="33"/>
      <c r="AMF116" s="33"/>
      <c r="AMP116" s="33"/>
      <c r="AMZ116" s="33"/>
      <c r="ANJ116" s="33"/>
      <c r="ANT116" s="33"/>
      <c r="AOD116" s="33"/>
      <c r="AON116" s="33"/>
      <c r="AOX116" s="33"/>
      <c r="APH116" s="33"/>
      <c r="APR116" s="33"/>
      <c r="AQB116" s="33"/>
      <c r="AQL116" s="33"/>
      <c r="AQV116" s="33"/>
      <c r="ARF116" s="33"/>
      <c r="ARP116" s="33"/>
      <c r="ARZ116" s="33"/>
      <c r="ASJ116" s="33"/>
      <c r="AST116" s="33"/>
      <c r="ATD116" s="33"/>
      <c r="ATN116" s="33"/>
      <c r="ATX116" s="33"/>
      <c r="AUH116" s="33"/>
      <c r="AUR116" s="33"/>
      <c r="AVB116" s="33"/>
      <c r="AVL116" s="33"/>
      <c r="AVV116" s="33"/>
      <c r="AWF116" s="33"/>
      <c r="AWP116" s="33"/>
      <c r="AWZ116" s="33"/>
      <c r="AXJ116" s="33"/>
      <c r="AXT116" s="33"/>
      <c r="AYD116" s="33"/>
      <c r="AYN116" s="33"/>
      <c r="AYX116" s="33"/>
      <c r="AZH116" s="33"/>
      <c r="AZR116" s="33"/>
      <c r="BAB116" s="33"/>
      <c r="BAL116" s="33"/>
      <c r="BAV116" s="33"/>
      <c r="BBF116" s="33"/>
      <c r="BBP116" s="33"/>
      <c r="BBZ116" s="33"/>
      <c r="BCJ116" s="33"/>
      <c r="BCT116" s="33"/>
      <c r="BDD116" s="33"/>
      <c r="BDN116" s="33"/>
      <c r="BDX116" s="33"/>
      <c r="BEH116" s="33"/>
      <c r="BER116" s="33"/>
      <c r="BFB116" s="33"/>
      <c r="BFL116" s="33"/>
      <c r="BFV116" s="33"/>
      <c r="BGF116" s="33"/>
      <c r="BGP116" s="33"/>
      <c r="BGZ116" s="33"/>
      <c r="BHJ116" s="33"/>
      <c r="BHT116" s="33"/>
      <c r="BID116" s="33"/>
      <c r="BIN116" s="33"/>
      <c r="BIX116" s="33"/>
      <c r="BJH116" s="33"/>
      <c r="BJR116" s="33"/>
      <c r="BKB116" s="33"/>
      <c r="BKL116" s="33"/>
      <c r="BKV116" s="33"/>
      <c r="BLF116" s="33"/>
      <c r="BLP116" s="33"/>
      <c r="BLZ116" s="33"/>
      <c r="BMJ116" s="33"/>
      <c r="BMT116" s="33"/>
      <c r="BND116" s="33"/>
      <c r="BNN116" s="33"/>
      <c r="BNX116" s="33"/>
      <c r="BOH116" s="33"/>
      <c r="BOR116" s="33"/>
      <c r="BPB116" s="33"/>
      <c r="BPL116" s="33"/>
      <c r="BPV116" s="33"/>
      <c r="BQF116" s="33"/>
      <c r="BQP116" s="33"/>
      <c r="BQZ116" s="33"/>
      <c r="BRJ116" s="33"/>
      <c r="BRT116" s="33"/>
      <c r="BSD116" s="33"/>
      <c r="BSN116" s="33"/>
      <c r="BSX116" s="33"/>
      <c r="BTH116" s="33"/>
      <c r="BTR116" s="33"/>
      <c r="BUB116" s="33"/>
      <c r="BUL116" s="33"/>
      <c r="BUV116" s="33"/>
      <c r="BVF116" s="33"/>
      <c r="BVP116" s="33"/>
      <c r="BVZ116" s="33"/>
      <c r="BWJ116" s="33"/>
      <c r="BWT116" s="33"/>
      <c r="BXD116" s="33"/>
      <c r="BXN116" s="33"/>
      <c r="BXX116" s="33"/>
      <c r="BYH116" s="33"/>
      <c r="BYR116" s="33"/>
      <c r="BZB116" s="33"/>
      <c r="BZL116" s="33"/>
      <c r="BZV116" s="33"/>
      <c r="CAF116" s="33"/>
      <c r="CAP116" s="33"/>
      <c r="CAZ116" s="33"/>
      <c r="CBJ116" s="33"/>
      <c r="CBT116" s="33"/>
      <c r="CCD116" s="33"/>
      <c r="CCN116" s="33"/>
      <c r="CCX116" s="33"/>
      <c r="CDH116" s="33"/>
      <c r="CDR116" s="33"/>
      <c r="CEB116" s="33"/>
      <c r="CEL116" s="33"/>
      <c r="CEV116" s="33"/>
      <c r="CFF116" s="33"/>
      <c r="CFP116" s="33"/>
      <c r="CFZ116" s="33"/>
      <c r="CGJ116" s="33"/>
      <c r="CGT116" s="33"/>
      <c r="CHD116" s="33"/>
      <c r="CHN116" s="33"/>
      <c r="CHX116" s="33"/>
      <c r="CIH116" s="33"/>
      <c r="CIR116" s="33"/>
      <c r="CJB116" s="33"/>
      <c r="CJL116" s="33"/>
      <c r="CJV116" s="33"/>
      <c r="CKF116" s="33"/>
      <c r="CKP116" s="33"/>
      <c r="CKZ116" s="33"/>
      <c r="CLJ116" s="33"/>
      <c r="CLT116" s="33"/>
      <c r="CMD116" s="33"/>
      <c r="CMN116" s="33"/>
      <c r="CMX116" s="33"/>
      <c r="CNH116" s="33"/>
      <c r="CNR116" s="33"/>
      <c r="COB116" s="33"/>
      <c r="COL116" s="33"/>
      <c r="COV116" s="33"/>
      <c r="CPF116" s="33"/>
      <c r="CPP116" s="33"/>
      <c r="CPZ116" s="33"/>
      <c r="CQJ116" s="33"/>
      <c r="CQT116" s="33"/>
      <c r="CRD116" s="33"/>
      <c r="CRN116" s="33"/>
      <c r="CRX116" s="33"/>
      <c r="CSH116" s="33"/>
      <c r="CSR116" s="33"/>
      <c r="CTB116" s="33"/>
      <c r="CTL116" s="33"/>
      <c r="CTV116" s="33"/>
    </row>
    <row r="117" s="16" customFormat="1" customHeight="1" spans="1:1020 1030:2040 2050:2570">
      <c r="A117" s="57"/>
      <c r="B117" s="52"/>
      <c r="C117" s="52"/>
      <c r="D117" s="52"/>
      <c r="E117" s="52"/>
      <c r="F117" s="58" t="str">
        <f>IFERROR(VLOOKUP(E117,日报!E:G,2,0),"")</f>
        <v/>
      </c>
      <c r="G117" s="52"/>
      <c r="H117" s="53" t="str">
        <f>IFERROR(VLOOKUP(E117,基础数据!$E$4:$H$4,4,0),"")</f>
        <v/>
      </c>
      <c r="I117" s="53" t="str">
        <f>IFERROR(VLOOKUP(E117,基础数据!$E$4:$H$4,3,0),"")</f>
        <v/>
      </c>
      <c r="J117" s="52"/>
      <c r="K117" s="54" t="str">
        <f t="shared" si="1"/>
        <v/>
      </c>
      <c r="T117" s="33"/>
      <c r="AD117" s="33"/>
      <c r="AN117" s="33"/>
      <c r="AX117" s="33"/>
      <c r="BH117" s="33"/>
      <c r="BR117" s="33"/>
      <c r="CB117" s="33"/>
      <c r="CL117" s="33"/>
      <c r="CV117" s="33"/>
      <c r="DF117" s="33"/>
      <c r="DP117" s="33"/>
      <c r="DZ117" s="33"/>
      <c r="EJ117" s="33"/>
      <c r="ET117" s="33"/>
      <c r="FD117" s="33"/>
      <c r="FN117" s="33"/>
      <c r="FX117" s="33"/>
      <c r="GH117" s="33"/>
      <c r="GR117" s="33"/>
      <c r="HB117" s="33"/>
      <c r="HL117" s="33"/>
      <c r="HV117" s="33"/>
      <c r="IF117" s="33"/>
      <c r="IP117" s="33"/>
      <c r="IZ117" s="33"/>
      <c r="JJ117" s="33"/>
      <c r="JT117" s="33"/>
      <c r="KD117" s="33"/>
      <c r="KN117" s="33"/>
      <c r="KX117" s="33"/>
      <c r="LH117" s="33"/>
      <c r="LR117" s="33"/>
      <c r="MB117" s="33"/>
      <c r="ML117" s="33"/>
      <c r="MV117" s="33"/>
      <c r="NF117" s="33"/>
      <c r="NP117" s="33"/>
      <c r="NZ117" s="33"/>
      <c r="OJ117" s="33"/>
      <c r="OT117" s="33"/>
      <c r="PD117" s="33"/>
      <c r="PN117" s="33"/>
      <c r="PX117" s="33"/>
      <c r="QH117" s="33"/>
      <c r="QR117" s="33"/>
      <c r="RB117" s="33"/>
      <c r="RL117" s="33"/>
      <c r="RV117" s="33"/>
      <c r="SF117" s="33"/>
      <c r="SP117" s="33"/>
      <c r="SZ117" s="33"/>
      <c r="TJ117" s="33"/>
      <c r="TT117" s="33"/>
      <c r="UD117" s="33"/>
      <c r="UN117" s="33"/>
      <c r="UX117" s="33"/>
      <c r="VH117" s="33"/>
      <c r="VR117" s="33"/>
      <c r="WB117" s="33"/>
      <c r="WL117" s="33"/>
      <c r="WV117" s="33"/>
      <c r="XF117" s="33"/>
      <c r="XP117" s="33"/>
      <c r="XZ117" s="33"/>
      <c r="YJ117" s="33"/>
      <c r="YT117" s="33"/>
      <c r="ZD117" s="33"/>
      <c r="ZN117" s="33"/>
      <c r="ZX117" s="33"/>
      <c r="AAH117" s="33"/>
      <c r="AAR117" s="33"/>
      <c r="ABB117" s="33"/>
      <c r="ABL117" s="33"/>
      <c r="ABV117" s="33"/>
      <c r="ACF117" s="33"/>
      <c r="ACP117" s="33"/>
      <c r="ACZ117" s="33"/>
      <c r="ADJ117" s="33"/>
      <c r="ADT117" s="33"/>
      <c r="AED117" s="33"/>
      <c r="AEN117" s="33"/>
      <c r="AEX117" s="33"/>
      <c r="AFH117" s="33"/>
      <c r="AFR117" s="33"/>
      <c r="AGB117" s="33"/>
      <c r="AGL117" s="33"/>
      <c r="AGV117" s="33"/>
      <c r="AHF117" s="33"/>
      <c r="AHP117" s="33"/>
      <c r="AHZ117" s="33"/>
      <c r="AIJ117" s="33"/>
      <c r="AIT117" s="33"/>
      <c r="AJD117" s="33"/>
      <c r="AJN117" s="33"/>
      <c r="AJX117" s="33"/>
      <c r="AKH117" s="33"/>
      <c r="AKR117" s="33"/>
      <c r="ALB117" s="33"/>
      <c r="ALL117" s="33"/>
      <c r="ALV117" s="33"/>
      <c r="AMF117" s="33"/>
      <c r="AMP117" s="33"/>
      <c r="AMZ117" s="33"/>
      <c r="ANJ117" s="33"/>
      <c r="ANT117" s="33"/>
      <c r="AOD117" s="33"/>
      <c r="AON117" s="33"/>
      <c r="AOX117" s="33"/>
      <c r="APH117" s="33"/>
      <c r="APR117" s="33"/>
      <c r="AQB117" s="33"/>
      <c r="AQL117" s="33"/>
      <c r="AQV117" s="33"/>
      <c r="ARF117" s="33"/>
      <c r="ARP117" s="33"/>
      <c r="ARZ117" s="33"/>
      <c r="ASJ117" s="33"/>
      <c r="AST117" s="33"/>
      <c r="ATD117" s="33"/>
      <c r="ATN117" s="33"/>
      <c r="ATX117" s="33"/>
      <c r="AUH117" s="33"/>
      <c r="AUR117" s="33"/>
      <c r="AVB117" s="33"/>
      <c r="AVL117" s="33"/>
      <c r="AVV117" s="33"/>
      <c r="AWF117" s="33"/>
      <c r="AWP117" s="33"/>
      <c r="AWZ117" s="33"/>
      <c r="AXJ117" s="33"/>
      <c r="AXT117" s="33"/>
      <c r="AYD117" s="33"/>
      <c r="AYN117" s="33"/>
      <c r="AYX117" s="33"/>
      <c r="AZH117" s="33"/>
      <c r="AZR117" s="33"/>
      <c r="BAB117" s="33"/>
      <c r="BAL117" s="33"/>
      <c r="BAV117" s="33"/>
      <c r="BBF117" s="33"/>
      <c r="BBP117" s="33"/>
      <c r="BBZ117" s="33"/>
      <c r="BCJ117" s="33"/>
      <c r="BCT117" s="33"/>
      <c r="BDD117" s="33"/>
      <c r="BDN117" s="33"/>
      <c r="BDX117" s="33"/>
      <c r="BEH117" s="33"/>
      <c r="BER117" s="33"/>
      <c r="BFB117" s="33"/>
      <c r="BFL117" s="33"/>
      <c r="BFV117" s="33"/>
      <c r="BGF117" s="33"/>
      <c r="BGP117" s="33"/>
      <c r="BGZ117" s="33"/>
      <c r="BHJ117" s="33"/>
      <c r="BHT117" s="33"/>
      <c r="BID117" s="33"/>
      <c r="BIN117" s="33"/>
      <c r="BIX117" s="33"/>
      <c r="BJH117" s="33"/>
      <c r="BJR117" s="33"/>
      <c r="BKB117" s="33"/>
      <c r="BKL117" s="33"/>
      <c r="BKV117" s="33"/>
      <c r="BLF117" s="33"/>
      <c r="BLP117" s="33"/>
      <c r="BLZ117" s="33"/>
      <c r="BMJ117" s="33"/>
      <c r="BMT117" s="33"/>
      <c r="BND117" s="33"/>
      <c r="BNN117" s="33"/>
      <c r="BNX117" s="33"/>
      <c r="BOH117" s="33"/>
      <c r="BOR117" s="33"/>
      <c r="BPB117" s="33"/>
      <c r="BPL117" s="33"/>
      <c r="BPV117" s="33"/>
      <c r="BQF117" s="33"/>
      <c r="BQP117" s="33"/>
      <c r="BQZ117" s="33"/>
      <c r="BRJ117" s="33"/>
      <c r="BRT117" s="33"/>
      <c r="BSD117" s="33"/>
      <c r="BSN117" s="33"/>
      <c r="BSX117" s="33"/>
      <c r="BTH117" s="33"/>
      <c r="BTR117" s="33"/>
      <c r="BUB117" s="33"/>
      <c r="BUL117" s="33"/>
      <c r="BUV117" s="33"/>
      <c r="BVF117" s="33"/>
      <c r="BVP117" s="33"/>
      <c r="BVZ117" s="33"/>
      <c r="BWJ117" s="33"/>
      <c r="BWT117" s="33"/>
      <c r="BXD117" s="33"/>
      <c r="BXN117" s="33"/>
      <c r="BXX117" s="33"/>
      <c r="BYH117" s="33"/>
      <c r="BYR117" s="33"/>
      <c r="BZB117" s="33"/>
      <c r="BZL117" s="33"/>
      <c r="BZV117" s="33"/>
      <c r="CAF117" s="33"/>
      <c r="CAP117" s="33"/>
      <c r="CAZ117" s="33"/>
      <c r="CBJ117" s="33"/>
      <c r="CBT117" s="33"/>
      <c r="CCD117" s="33"/>
      <c r="CCN117" s="33"/>
      <c r="CCX117" s="33"/>
      <c r="CDH117" s="33"/>
      <c r="CDR117" s="33"/>
      <c r="CEB117" s="33"/>
      <c r="CEL117" s="33"/>
      <c r="CEV117" s="33"/>
      <c r="CFF117" s="33"/>
      <c r="CFP117" s="33"/>
      <c r="CFZ117" s="33"/>
      <c r="CGJ117" s="33"/>
      <c r="CGT117" s="33"/>
      <c r="CHD117" s="33"/>
      <c r="CHN117" s="33"/>
      <c r="CHX117" s="33"/>
      <c r="CIH117" s="33"/>
      <c r="CIR117" s="33"/>
      <c r="CJB117" s="33"/>
      <c r="CJL117" s="33"/>
      <c r="CJV117" s="33"/>
      <c r="CKF117" s="33"/>
      <c r="CKP117" s="33"/>
      <c r="CKZ117" s="33"/>
      <c r="CLJ117" s="33"/>
      <c r="CLT117" s="33"/>
      <c r="CMD117" s="33"/>
      <c r="CMN117" s="33"/>
      <c r="CMX117" s="33"/>
      <c r="CNH117" s="33"/>
      <c r="CNR117" s="33"/>
      <c r="COB117" s="33"/>
      <c r="COL117" s="33"/>
      <c r="COV117" s="33"/>
      <c r="CPF117" s="33"/>
      <c r="CPP117" s="33"/>
      <c r="CPZ117" s="33"/>
      <c r="CQJ117" s="33"/>
      <c r="CQT117" s="33"/>
      <c r="CRD117" s="33"/>
      <c r="CRN117" s="33"/>
      <c r="CRX117" s="33"/>
      <c r="CSH117" s="33"/>
      <c r="CSR117" s="33"/>
      <c r="CTB117" s="33"/>
      <c r="CTL117" s="33"/>
      <c r="CTV117" s="33"/>
    </row>
    <row r="118" s="16" customFormat="1" customHeight="1" spans="1:1020 1030:2040 2050:2570">
      <c r="A118" s="57"/>
      <c r="B118" s="52"/>
      <c r="C118" s="52"/>
      <c r="D118" s="52"/>
      <c r="E118" s="52"/>
      <c r="F118" s="58" t="str">
        <f>IFERROR(VLOOKUP(E118,日报!E:G,2,0),"")</f>
        <v/>
      </c>
      <c r="G118" s="52"/>
      <c r="H118" s="53" t="str">
        <f>IFERROR(VLOOKUP(E118,基础数据!$E$4:$H$4,4,0),"")</f>
        <v/>
      </c>
      <c r="I118" s="53" t="str">
        <f>IFERROR(VLOOKUP(E118,基础数据!$E$4:$H$4,3,0),"")</f>
        <v/>
      </c>
      <c r="J118" s="52"/>
      <c r="K118" s="54" t="str">
        <f t="shared" si="1"/>
        <v/>
      </c>
      <c r="T118" s="33"/>
      <c r="AD118" s="33"/>
      <c r="AN118" s="33"/>
      <c r="AX118" s="33"/>
      <c r="BH118" s="33"/>
      <c r="BR118" s="33"/>
      <c r="CB118" s="33"/>
      <c r="CL118" s="33"/>
      <c r="CV118" s="33"/>
      <c r="DF118" s="33"/>
      <c r="DP118" s="33"/>
      <c r="DZ118" s="33"/>
      <c r="EJ118" s="33"/>
      <c r="ET118" s="33"/>
      <c r="FD118" s="33"/>
      <c r="FN118" s="33"/>
      <c r="FX118" s="33"/>
      <c r="GH118" s="33"/>
      <c r="GR118" s="33"/>
      <c r="HB118" s="33"/>
      <c r="HL118" s="33"/>
      <c r="HV118" s="33"/>
      <c r="IF118" s="33"/>
      <c r="IP118" s="33"/>
      <c r="IZ118" s="33"/>
      <c r="JJ118" s="33"/>
      <c r="JT118" s="33"/>
      <c r="KD118" s="33"/>
      <c r="KN118" s="33"/>
      <c r="KX118" s="33"/>
      <c r="LH118" s="33"/>
      <c r="LR118" s="33"/>
      <c r="MB118" s="33"/>
      <c r="ML118" s="33"/>
      <c r="MV118" s="33"/>
      <c r="NF118" s="33"/>
      <c r="NP118" s="33"/>
      <c r="NZ118" s="33"/>
      <c r="OJ118" s="33"/>
      <c r="OT118" s="33"/>
      <c r="PD118" s="33"/>
      <c r="PN118" s="33"/>
      <c r="PX118" s="33"/>
      <c r="QH118" s="33"/>
      <c r="QR118" s="33"/>
      <c r="RB118" s="33"/>
      <c r="RL118" s="33"/>
      <c r="RV118" s="33"/>
      <c r="SF118" s="33"/>
      <c r="SP118" s="33"/>
      <c r="SZ118" s="33"/>
      <c r="TJ118" s="33"/>
      <c r="TT118" s="33"/>
      <c r="UD118" s="33"/>
      <c r="UN118" s="33"/>
      <c r="UX118" s="33"/>
      <c r="VH118" s="33"/>
      <c r="VR118" s="33"/>
      <c r="WB118" s="33"/>
      <c r="WL118" s="33"/>
      <c r="WV118" s="33"/>
      <c r="XF118" s="33"/>
      <c r="XP118" s="33"/>
      <c r="XZ118" s="33"/>
      <c r="YJ118" s="33"/>
      <c r="YT118" s="33"/>
      <c r="ZD118" s="33"/>
      <c r="ZN118" s="33"/>
      <c r="ZX118" s="33"/>
      <c r="AAH118" s="33"/>
      <c r="AAR118" s="33"/>
      <c r="ABB118" s="33"/>
      <c r="ABL118" s="33"/>
      <c r="ABV118" s="33"/>
      <c r="ACF118" s="33"/>
      <c r="ACP118" s="33"/>
      <c r="ACZ118" s="33"/>
      <c r="ADJ118" s="33"/>
      <c r="ADT118" s="33"/>
      <c r="AED118" s="33"/>
      <c r="AEN118" s="33"/>
      <c r="AEX118" s="33"/>
      <c r="AFH118" s="33"/>
      <c r="AFR118" s="33"/>
      <c r="AGB118" s="33"/>
      <c r="AGL118" s="33"/>
      <c r="AGV118" s="33"/>
      <c r="AHF118" s="33"/>
      <c r="AHP118" s="33"/>
      <c r="AHZ118" s="33"/>
      <c r="AIJ118" s="33"/>
      <c r="AIT118" s="33"/>
      <c r="AJD118" s="33"/>
      <c r="AJN118" s="33"/>
      <c r="AJX118" s="33"/>
      <c r="AKH118" s="33"/>
      <c r="AKR118" s="33"/>
      <c r="ALB118" s="33"/>
      <c r="ALL118" s="33"/>
      <c r="ALV118" s="33"/>
      <c r="AMF118" s="33"/>
      <c r="AMP118" s="33"/>
      <c r="AMZ118" s="33"/>
      <c r="ANJ118" s="33"/>
      <c r="ANT118" s="33"/>
      <c r="AOD118" s="33"/>
      <c r="AON118" s="33"/>
      <c r="AOX118" s="33"/>
      <c r="APH118" s="33"/>
      <c r="APR118" s="33"/>
      <c r="AQB118" s="33"/>
      <c r="AQL118" s="33"/>
      <c r="AQV118" s="33"/>
      <c r="ARF118" s="33"/>
      <c r="ARP118" s="33"/>
      <c r="ARZ118" s="33"/>
      <c r="ASJ118" s="33"/>
      <c r="AST118" s="33"/>
      <c r="ATD118" s="33"/>
      <c r="ATN118" s="33"/>
      <c r="ATX118" s="33"/>
      <c r="AUH118" s="33"/>
      <c r="AUR118" s="33"/>
      <c r="AVB118" s="33"/>
      <c r="AVL118" s="33"/>
      <c r="AVV118" s="33"/>
      <c r="AWF118" s="33"/>
      <c r="AWP118" s="33"/>
      <c r="AWZ118" s="33"/>
      <c r="AXJ118" s="33"/>
      <c r="AXT118" s="33"/>
      <c r="AYD118" s="33"/>
      <c r="AYN118" s="33"/>
      <c r="AYX118" s="33"/>
      <c r="AZH118" s="33"/>
      <c r="AZR118" s="33"/>
      <c r="BAB118" s="33"/>
      <c r="BAL118" s="33"/>
      <c r="BAV118" s="33"/>
      <c r="BBF118" s="33"/>
      <c r="BBP118" s="33"/>
      <c r="BBZ118" s="33"/>
      <c r="BCJ118" s="33"/>
      <c r="BCT118" s="33"/>
      <c r="BDD118" s="33"/>
      <c r="BDN118" s="33"/>
      <c r="BDX118" s="33"/>
      <c r="BEH118" s="33"/>
      <c r="BER118" s="33"/>
      <c r="BFB118" s="33"/>
      <c r="BFL118" s="33"/>
      <c r="BFV118" s="33"/>
      <c r="BGF118" s="33"/>
      <c r="BGP118" s="33"/>
      <c r="BGZ118" s="33"/>
      <c r="BHJ118" s="33"/>
      <c r="BHT118" s="33"/>
      <c r="BID118" s="33"/>
      <c r="BIN118" s="33"/>
      <c r="BIX118" s="33"/>
      <c r="BJH118" s="33"/>
      <c r="BJR118" s="33"/>
      <c r="BKB118" s="33"/>
      <c r="BKL118" s="33"/>
      <c r="BKV118" s="33"/>
      <c r="BLF118" s="33"/>
      <c r="BLP118" s="33"/>
      <c r="BLZ118" s="33"/>
      <c r="BMJ118" s="33"/>
      <c r="BMT118" s="33"/>
      <c r="BND118" s="33"/>
      <c r="BNN118" s="33"/>
      <c r="BNX118" s="33"/>
      <c r="BOH118" s="33"/>
      <c r="BOR118" s="33"/>
      <c r="BPB118" s="33"/>
      <c r="BPL118" s="33"/>
      <c r="BPV118" s="33"/>
      <c r="BQF118" s="33"/>
      <c r="BQP118" s="33"/>
      <c r="BQZ118" s="33"/>
      <c r="BRJ118" s="33"/>
      <c r="BRT118" s="33"/>
      <c r="BSD118" s="33"/>
      <c r="BSN118" s="33"/>
      <c r="BSX118" s="33"/>
      <c r="BTH118" s="33"/>
      <c r="BTR118" s="33"/>
      <c r="BUB118" s="33"/>
      <c r="BUL118" s="33"/>
      <c r="BUV118" s="33"/>
      <c r="BVF118" s="33"/>
      <c r="BVP118" s="33"/>
      <c r="BVZ118" s="33"/>
      <c r="BWJ118" s="33"/>
      <c r="BWT118" s="33"/>
      <c r="BXD118" s="33"/>
      <c r="BXN118" s="33"/>
      <c r="BXX118" s="33"/>
      <c r="BYH118" s="33"/>
      <c r="BYR118" s="33"/>
      <c r="BZB118" s="33"/>
      <c r="BZL118" s="33"/>
      <c r="BZV118" s="33"/>
      <c r="CAF118" s="33"/>
      <c r="CAP118" s="33"/>
      <c r="CAZ118" s="33"/>
      <c r="CBJ118" s="33"/>
      <c r="CBT118" s="33"/>
      <c r="CCD118" s="33"/>
      <c r="CCN118" s="33"/>
      <c r="CCX118" s="33"/>
      <c r="CDH118" s="33"/>
      <c r="CDR118" s="33"/>
      <c r="CEB118" s="33"/>
      <c r="CEL118" s="33"/>
      <c r="CEV118" s="33"/>
      <c r="CFF118" s="33"/>
      <c r="CFP118" s="33"/>
      <c r="CFZ118" s="33"/>
      <c r="CGJ118" s="33"/>
      <c r="CGT118" s="33"/>
      <c r="CHD118" s="33"/>
      <c r="CHN118" s="33"/>
      <c r="CHX118" s="33"/>
      <c r="CIH118" s="33"/>
      <c r="CIR118" s="33"/>
      <c r="CJB118" s="33"/>
      <c r="CJL118" s="33"/>
      <c r="CJV118" s="33"/>
      <c r="CKF118" s="33"/>
      <c r="CKP118" s="33"/>
      <c r="CKZ118" s="33"/>
      <c r="CLJ118" s="33"/>
      <c r="CLT118" s="33"/>
      <c r="CMD118" s="33"/>
      <c r="CMN118" s="33"/>
      <c r="CMX118" s="33"/>
      <c r="CNH118" s="33"/>
      <c r="CNR118" s="33"/>
      <c r="COB118" s="33"/>
      <c r="COL118" s="33"/>
      <c r="COV118" s="33"/>
      <c r="CPF118" s="33"/>
      <c r="CPP118" s="33"/>
      <c r="CPZ118" s="33"/>
      <c r="CQJ118" s="33"/>
      <c r="CQT118" s="33"/>
      <c r="CRD118" s="33"/>
      <c r="CRN118" s="33"/>
      <c r="CRX118" s="33"/>
      <c r="CSH118" s="33"/>
      <c r="CSR118" s="33"/>
      <c r="CTB118" s="33"/>
      <c r="CTL118" s="33"/>
      <c r="CTV118" s="33"/>
    </row>
    <row r="119" s="16" customFormat="1" customHeight="1" spans="1:1020 1030:2040 2050:2570">
      <c r="A119" s="57"/>
      <c r="B119" s="52"/>
      <c r="C119" s="52"/>
      <c r="D119" s="52"/>
      <c r="E119" s="52"/>
      <c r="F119" s="58" t="str">
        <f>IFERROR(VLOOKUP(E119,日报!E:G,2,0),"")</f>
        <v/>
      </c>
      <c r="G119" s="52"/>
      <c r="H119" s="53" t="str">
        <f>IFERROR(VLOOKUP(E119,基础数据!$E$4:$H$4,4,0),"")</f>
        <v/>
      </c>
      <c r="I119" s="53" t="str">
        <f>IFERROR(VLOOKUP(E119,基础数据!$E$4:$H$4,3,0),"")</f>
        <v/>
      </c>
      <c r="J119" s="52"/>
      <c r="K119" s="54" t="str">
        <f t="shared" si="1"/>
        <v/>
      </c>
      <c r="T119" s="33"/>
      <c r="AD119" s="33"/>
      <c r="AN119" s="33"/>
      <c r="AX119" s="33"/>
      <c r="BH119" s="33"/>
      <c r="BR119" s="33"/>
      <c r="CB119" s="33"/>
      <c r="CL119" s="33"/>
      <c r="CV119" s="33"/>
      <c r="DF119" s="33"/>
      <c r="DP119" s="33"/>
      <c r="DZ119" s="33"/>
      <c r="EJ119" s="33"/>
      <c r="ET119" s="33"/>
      <c r="FD119" s="33"/>
      <c r="FN119" s="33"/>
      <c r="FX119" s="33"/>
      <c r="GH119" s="33"/>
      <c r="GR119" s="33"/>
      <c r="HB119" s="33"/>
      <c r="HL119" s="33"/>
      <c r="HV119" s="33"/>
      <c r="IF119" s="33"/>
      <c r="IP119" s="33"/>
      <c r="IZ119" s="33"/>
      <c r="JJ119" s="33"/>
      <c r="JT119" s="33"/>
      <c r="KD119" s="33"/>
      <c r="KN119" s="33"/>
      <c r="KX119" s="33"/>
      <c r="LH119" s="33"/>
      <c r="LR119" s="33"/>
      <c r="MB119" s="33"/>
      <c r="ML119" s="33"/>
      <c r="MV119" s="33"/>
      <c r="NF119" s="33"/>
      <c r="NP119" s="33"/>
      <c r="NZ119" s="33"/>
      <c r="OJ119" s="33"/>
      <c r="OT119" s="33"/>
      <c r="PD119" s="33"/>
      <c r="PN119" s="33"/>
      <c r="PX119" s="33"/>
      <c r="QH119" s="33"/>
      <c r="QR119" s="33"/>
      <c r="RB119" s="33"/>
      <c r="RL119" s="33"/>
      <c r="RV119" s="33"/>
      <c r="SF119" s="33"/>
      <c r="SP119" s="33"/>
      <c r="SZ119" s="33"/>
      <c r="TJ119" s="33"/>
      <c r="TT119" s="33"/>
      <c r="UD119" s="33"/>
      <c r="UN119" s="33"/>
      <c r="UX119" s="33"/>
      <c r="VH119" s="33"/>
      <c r="VR119" s="33"/>
      <c r="WB119" s="33"/>
      <c r="WL119" s="33"/>
      <c r="WV119" s="33"/>
      <c r="XF119" s="33"/>
      <c r="XP119" s="33"/>
      <c r="XZ119" s="33"/>
      <c r="YJ119" s="33"/>
      <c r="YT119" s="33"/>
      <c r="ZD119" s="33"/>
      <c r="ZN119" s="33"/>
      <c r="ZX119" s="33"/>
      <c r="AAH119" s="33"/>
      <c r="AAR119" s="33"/>
      <c r="ABB119" s="33"/>
      <c r="ABL119" s="33"/>
      <c r="ABV119" s="33"/>
      <c r="ACF119" s="33"/>
      <c r="ACP119" s="33"/>
      <c r="ACZ119" s="33"/>
      <c r="ADJ119" s="33"/>
      <c r="ADT119" s="33"/>
      <c r="AED119" s="33"/>
      <c r="AEN119" s="33"/>
      <c r="AEX119" s="33"/>
      <c r="AFH119" s="33"/>
      <c r="AFR119" s="33"/>
      <c r="AGB119" s="33"/>
      <c r="AGL119" s="33"/>
      <c r="AGV119" s="33"/>
      <c r="AHF119" s="33"/>
      <c r="AHP119" s="33"/>
      <c r="AHZ119" s="33"/>
      <c r="AIJ119" s="33"/>
      <c r="AIT119" s="33"/>
      <c r="AJD119" s="33"/>
      <c r="AJN119" s="33"/>
      <c r="AJX119" s="33"/>
      <c r="AKH119" s="33"/>
      <c r="AKR119" s="33"/>
      <c r="ALB119" s="33"/>
      <c r="ALL119" s="33"/>
      <c r="ALV119" s="33"/>
      <c r="AMF119" s="33"/>
      <c r="AMP119" s="33"/>
      <c r="AMZ119" s="33"/>
      <c r="ANJ119" s="33"/>
      <c r="ANT119" s="33"/>
      <c r="AOD119" s="33"/>
      <c r="AON119" s="33"/>
      <c r="AOX119" s="33"/>
      <c r="APH119" s="33"/>
      <c r="APR119" s="33"/>
      <c r="AQB119" s="33"/>
      <c r="AQL119" s="33"/>
      <c r="AQV119" s="33"/>
      <c r="ARF119" s="33"/>
      <c r="ARP119" s="33"/>
      <c r="ARZ119" s="33"/>
      <c r="ASJ119" s="33"/>
      <c r="AST119" s="33"/>
      <c r="ATD119" s="33"/>
      <c r="ATN119" s="33"/>
      <c r="ATX119" s="33"/>
      <c r="AUH119" s="33"/>
      <c r="AUR119" s="33"/>
      <c r="AVB119" s="33"/>
      <c r="AVL119" s="33"/>
      <c r="AVV119" s="33"/>
      <c r="AWF119" s="33"/>
      <c r="AWP119" s="33"/>
      <c r="AWZ119" s="33"/>
      <c r="AXJ119" s="33"/>
      <c r="AXT119" s="33"/>
      <c r="AYD119" s="33"/>
      <c r="AYN119" s="33"/>
      <c r="AYX119" s="33"/>
      <c r="AZH119" s="33"/>
      <c r="AZR119" s="33"/>
      <c r="BAB119" s="33"/>
      <c r="BAL119" s="33"/>
      <c r="BAV119" s="33"/>
      <c r="BBF119" s="33"/>
      <c r="BBP119" s="33"/>
      <c r="BBZ119" s="33"/>
      <c r="BCJ119" s="33"/>
      <c r="BCT119" s="33"/>
      <c r="BDD119" s="33"/>
      <c r="BDN119" s="33"/>
      <c r="BDX119" s="33"/>
      <c r="BEH119" s="33"/>
      <c r="BER119" s="33"/>
      <c r="BFB119" s="33"/>
      <c r="BFL119" s="33"/>
      <c r="BFV119" s="33"/>
      <c r="BGF119" s="33"/>
      <c r="BGP119" s="33"/>
      <c r="BGZ119" s="33"/>
      <c r="BHJ119" s="33"/>
      <c r="BHT119" s="33"/>
      <c r="BID119" s="33"/>
      <c r="BIN119" s="33"/>
      <c r="BIX119" s="33"/>
      <c r="BJH119" s="33"/>
      <c r="BJR119" s="33"/>
      <c r="BKB119" s="33"/>
      <c r="BKL119" s="33"/>
      <c r="BKV119" s="33"/>
      <c r="BLF119" s="33"/>
      <c r="BLP119" s="33"/>
      <c r="BLZ119" s="33"/>
      <c r="BMJ119" s="33"/>
      <c r="BMT119" s="33"/>
      <c r="BND119" s="33"/>
      <c r="BNN119" s="33"/>
      <c r="BNX119" s="33"/>
      <c r="BOH119" s="33"/>
      <c r="BOR119" s="33"/>
      <c r="BPB119" s="33"/>
      <c r="BPL119" s="33"/>
      <c r="BPV119" s="33"/>
      <c r="BQF119" s="33"/>
      <c r="BQP119" s="33"/>
      <c r="BQZ119" s="33"/>
      <c r="BRJ119" s="33"/>
      <c r="BRT119" s="33"/>
      <c r="BSD119" s="33"/>
      <c r="BSN119" s="33"/>
      <c r="BSX119" s="33"/>
      <c r="BTH119" s="33"/>
      <c r="BTR119" s="33"/>
      <c r="BUB119" s="33"/>
      <c r="BUL119" s="33"/>
      <c r="BUV119" s="33"/>
      <c r="BVF119" s="33"/>
      <c r="BVP119" s="33"/>
      <c r="BVZ119" s="33"/>
      <c r="BWJ119" s="33"/>
      <c r="BWT119" s="33"/>
      <c r="BXD119" s="33"/>
      <c r="BXN119" s="33"/>
      <c r="BXX119" s="33"/>
      <c r="BYH119" s="33"/>
      <c r="BYR119" s="33"/>
      <c r="BZB119" s="33"/>
      <c r="BZL119" s="33"/>
      <c r="BZV119" s="33"/>
      <c r="CAF119" s="33"/>
      <c r="CAP119" s="33"/>
      <c r="CAZ119" s="33"/>
      <c r="CBJ119" s="33"/>
      <c r="CBT119" s="33"/>
      <c r="CCD119" s="33"/>
      <c r="CCN119" s="33"/>
      <c r="CCX119" s="33"/>
      <c r="CDH119" s="33"/>
      <c r="CDR119" s="33"/>
      <c r="CEB119" s="33"/>
      <c r="CEL119" s="33"/>
      <c r="CEV119" s="33"/>
      <c r="CFF119" s="33"/>
      <c r="CFP119" s="33"/>
      <c r="CFZ119" s="33"/>
      <c r="CGJ119" s="33"/>
      <c r="CGT119" s="33"/>
      <c r="CHD119" s="33"/>
      <c r="CHN119" s="33"/>
      <c r="CHX119" s="33"/>
      <c r="CIH119" s="33"/>
      <c r="CIR119" s="33"/>
      <c r="CJB119" s="33"/>
      <c r="CJL119" s="33"/>
      <c r="CJV119" s="33"/>
      <c r="CKF119" s="33"/>
      <c r="CKP119" s="33"/>
      <c r="CKZ119" s="33"/>
      <c r="CLJ119" s="33"/>
      <c r="CLT119" s="33"/>
      <c r="CMD119" s="33"/>
      <c r="CMN119" s="33"/>
      <c r="CMX119" s="33"/>
      <c r="CNH119" s="33"/>
      <c r="CNR119" s="33"/>
      <c r="COB119" s="33"/>
      <c r="COL119" s="33"/>
      <c r="COV119" s="33"/>
      <c r="CPF119" s="33"/>
      <c r="CPP119" s="33"/>
      <c r="CPZ119" s="33"/>
      <c r="CQJ119" s="33"/>
      <c r="CQT119" s="33"/>
      <c r="CRD119" s="33"/>
      <c r="CRN119" s="33"/>
      <c r="CRX119" s="33"/>
      <c r="CSH119" s="33"/>
      <c r="CSR119" s="33"/>
      <c r="CTB119" s="33"/>
      <c r="CTL119" s="33"/>
      <c r="CTV119" s="33"/>
    </row>
    <row r="120" s="16" customFormat="1" customHeight="1" spans="1:1020 1030:2040 2050:2570">
      <c r="A120" s="57"/>
      <c r="B120" s="52"/>
      <c r="C120" s="52"/>
      <c r="D120" s="52"/>
      <c r="E120" s="52"/>
      <c r="F120" s="58" t="str">
        <f>IFERROR(VLOOKUP(E120,日报!E:G,2,0),"")</f>
        <v/>
      </c>
      <c r="G120" s="52"/>
      <c r="H120" s="53" t="str">
        <f>IFERROR(VLOOKUP(E120,基础数据!$E$4:$H$4,4,0),"")</f>
        <v/>
      </c>
      <c r="I120" s="53" t="str">
        <f>IFERROR(VLOOKUP(E120,基础数据!$E$4:$H$4,3,0),"")</f>
        <v/>
      </c>
      <c r="J120" s="52"/>
      <c r="K120" s="54" t="str">
        <f t="shared" ref="K120:K183" si="2">IFERROR(G120/I120,"")</f>
        <v/>
      </c>
      <c r="T120" s="33"/>
      <c r="AD120" s="33"/>
      <c r="AN120" s="33"/>
      <c r="AX120" s="33"/>
      <c r="BH120" s="33"/>
      <c r="BR120" s="33"/>
      <c r="CB120" s="33"/>
      <c r="CL120" s="33"/>
      <c r="CV120" s="33"/>
      <c r="DF120" s="33"/>
      <c r="DP120" s="33"/>
      <c r="DZ120" s="33"/>
      <c r="EJ120" s="33"/>
      <c r="ET120" s="33"/>
      <c r="FD120" s="33"/>
      <c r="FN120" s="33"/>
      <c r="FX120" s="33"/>
      <c r="GH120" s="33"/>
      <c r="GR120" s="33"/>
      <c r="HB120" s="33"/>
      <c r="HL120" s="33"/>
      <c r="HV120" s="33"/>
      <c r="IF120" s="33"/>
      <c r="IP120" s="33"/>
      <c r="IZ120" s="33"/>
      <c r="JJ120" s="33"/>
      <c r="JT120" s="33"/>
      <c r="KD120" s="33"/>
      <c r="KN120" s="33"/>
      <c r="KX120" s="33"/>
      <c r="LH120" s="33"/>
      <c r="LR120" s="33"/>
      <c r="MB120" s="33"/>
      <c r="ML120" s="33"/>
      <c r="MV120" s="33"/>
      <c r="NF120" s="33"/>
      <c r="NP120" s="33"/>
      <c r="NZ120" s="33"/>
      <c r="OJ120" s="33"/>
      <c r="OT120" s="33"/>
      <c r="PD120" s="33"/>
      <c r="PN120" s="33"/>
      <c r="PX120" s="33"/>
      <c r="QH120" s="33"/>
      <c r="QR120" s="33"/>
      <c r="RB120" s="33"/>
      <c r="RL120" s="33"/>
      <c r="RV120" s="33"/>
      <c r="SF120" s="33"/>
      <c r="SP120" s="33"/>
      <c r="SZ120" s="33"/>
      <c r="TJ120" s="33"/>
      <c r="TT120" s="33"/>
      <c r="UD120" s="33"/>
      <c r="UN120" s="33"/>
      <c r="UX120" s="33"/>
      <c r="VH120" s="33"/>
      <c r="VR120" s="33"/>
      <c r="WB120" s="33"/>
      <c r="WL120" s="33"/>
      <c r="WV120" s="33"/>
      <c r="XF120" s="33"/>
      <c r="XP120" s="33"/>
      <c r="XZ120" s="33"/>
      <c r="YJ120" s="33"/>
      <c r="YT120" s="33"/>
      <c r="ZD120" s="33"/>
      <c r="ZN120" s="33"/>
      <c r="ZX120" s="33"/>
      <c r="AAH120" s="33"/>
      <c r="AAR120" s="33"/>
      <c r="ABB120" s="33"/>
      <c r="ABL120" s="33"/>
      <c r="ABV120" s="33"/>
      <c r="ACF120" s="33"/>
      <c r="ACP120" s="33"/>
      <c r="ACZ120" s="33"/>
      <c r="ADJ120" s="33"/>
      <c r="ADT120" s="33"/>
      <c r="AED120" s="33"/>
      <c r="AEN120" s="33"/>
      <c r="AEX120" s="33"/>
      <c r="AFH120" s="33"/>
      <c r="AFR120" s="33"/>
      <c r="AGB120" s="33"/>
      <c r="AGL120" s="33"/>
      <c r="AGV120" s="33"/>
      <c r="AHF120" s="33"/>
      <c r="AHP120" s="33"/>
      <c r="AHZ120" s="33"/>
      <c r="AIJ120" s="33"/>
      <c r="AIT120" s="33"/>
      <c r="AJD120" s="33"/>
      <c r="AJN120" s="33"/>
      <c r="AJX120" s="33"/>
      <c r="AKH120" s="33"/>
      <c r="AKR120" s="33"/>
      <c r="ALB120" s="33"/>
      <c r="ALL120" s="33"/>
      <c r="ALV120" s="33"/>
      <c r="AMF120" s="33"/>
      <c r="AMP120" s="33"/>
      <c r="AMZ120" s="33"/>
      <c r="ANJ120" s="33"/>
      <c r="ANT120" s="33"/>
      <c r="AOD120" s="33"/>
      <c r="AON120" s="33"/>
      <c r="AOX120" s="33"/>
      <c r="APH120" s="33"/>
      <c r="APR120" s="33"/>
      <c r="AQB120" s="33"/>
      <c r="AQL120" s="33"/>
      <c r="AQV120" s="33"/>
      <c r="ARF120" s="33"/>
      <c r="ARP120" s="33"/>
      <c r="ARZ120" s="33"/>
      <c r="ASJ120" s="33"/>
      <c r="AST120" s="33"/>
      <c r="ATD120" s="33"/>
      <c r="ATN120" s="33"/>
      <c r="ATX120" s="33"/>
      <c r="AUH120" s="33"/>
      <c r="AUR120" s="33"/>
      <c r="AVB120" s="33"/>
      <c r="AVL120" s="33"/>
      <c r="AVV120" s="33"/>
      <c r="AWF120" s="33"/>
      <c r="AWP120" s="33"/>
      <c r="AWZ120" s="33"/>
      <c r="AXJ120" s="33"/>
      <c r="AXT120" s="33"/>
      <c r="AYD120" s="33"/>
      <c r="AYN120" s="33"/>
      <c r="AYX120" s="33"/>
      <c r="AZH120" s="33"/>
      <c r="AZR120" s="33"/>
      <c r="BAB120" s="33"/>
      <c r="BAL120" s="33"/>
      <c r="BAV120" s="33"/>
      <c r="BBF120" s="33"/>
      <c r="BBP120" s="33"/>
      <c r="BBZ120" s="33"/>
      <c r="BCJ120" s="33"/>
      <c r="BCT120" s="33"/>
      <c r="BDD120" s="33"/>
      <c r="BDN120" s="33"/>
      <c r="BDX120" s="33"/>
      <c r="BEH120" s="33"/>
      <c r="BER120" s="33"/>
      <c r="BFB120" s="33"/>
      <c r="BFL120" s="33"/>
      <c r="BFV120" s="33"/>
      <c r="BGF120" s="33"/>
      <c r="BGP120" s="33"/>
      <c r="BGZ120" s="33"/>
      <c r="BHJ120" s="33"/>
      <c r="BHT120" s="33"/>
      <c r="BID120" s="33"/>
      <c r="BIN120" s="33"/>
      <c r="BIX120" s="33"/>
      <c r="BJH120" s="33"/>
      <c r="BJR120" s="33"/>
      <c r="BKB120" s="33"/>
      <c r="BKL120" s="33"/>
      <c r="BKV120" s="33"/>
      <c r="BLF120" s="33"/>
      <c r="BLP120" s="33"/>
      <c r="BLZ120" s="33"/>
      <c r="BMJ120" s="33"/>
      <c r="BMT120" s="33"/>
      <c r="BND120" s="33"/>
      <c r="BNN120" s="33"/>
      <c r="BNX120" s="33"/>
      <c r="BOH120" s="33"/>
      <c r="BOR120" s="33"/>
      <c r="BPB120" s="33"/>
      <c r="BPL120" s="33"/>
      <c r="BPV120" s="33"/>
      <c r="BQF120" s="33"/>
      <c r="BQP120" s="33"/>
      <c r="BQZ120" s="33"/>
      <c r="BRJ120" s="33"/>
      <c r="BRT120" s="33"/>
      <c r="BSD120" s="33"/>
      <c r="BSN120" s="33"/>
      <c r="BSX120" s="33"/>
      <c r="BTH120" s="33"/>
      <c r="BTR120" s="33"/>
      <c r="BUB120" s="33"/>
      <c r="BUL120" s="33"/>
      <c r="BUV120" s="33"/>
      <c r="BVF120" s="33"/>
      <c r="BVP120" s="33"/>
      <c r="BVZ120" s="33"/>
      <c r="BWJ120" s="33"/>
      <c r="BWT120" s="33"/>
      <c r="BXD120" s="33"/>
      <c r="BXN120" s="33"/>
      <c r="BXX120" s="33"/>
      <c r="BYH120" s="33"/>
      <c r="BYR120" s="33"/>
      <c r="BZB120" s="33"/>
      <c r="BZL120" s="33"/>
      <c r="BZV120" s="33"/>
      <c r="CAF120" s="33"/>
      <c r="CAP120" s="33"/>
      <c r="CAZ120" s="33"/>
      <c r="CBJ120" s="33"/>
      <c r="CBT120" s="33"/>
      <c r="CCD120" s="33"/>
      <c r="CCN120" s="33"/>
      <c r="CCX120" s="33"/>
      <c r="CDH120" s="33"/>
      <c r="CDR120" s="33"/>
      <c r="CEB120" s="33"/>
      <c r="CEL120" s="33"/>
      <c r="CEV120" s="33"/>
      <c r="CFF120" s="33"/>
      <c r="CFP120" s="33"/>
      <c r="CFZ120" s="33"/>
      <c r="CGJ120" s="33"/>
      <c r="CGT120" s="33"/>
      <c r="CHD120" s="33"/>
      <c r="CHN120" s="33"/>
      <c r="CHX120" s="33"/>
      <c r="CIH120" s="33"/>
      <c r="CIR120" s="33"/>
      <c r="CJB120" s="33"/>
      <c r="CJL120" s="33"/>
      <c r="CJV120" s="33"/>
      <c r="CKF120" s="33"/>
      <c r="CKP120" s="33"/>
      <c r="CKZ120" s="33"/>
      <c r="CLJ120" s="33"/>
      <c r="CLT120" s="33"/>
      <c r="CMD120" s="33"/>
      <c r="CMN120" s="33"/>
      <c r="CMX120" s="33"/>
      <c r="CNH120" s="33"/>
      <c r="CNR120" s="33"/>
      <c r="COB120" s="33"/>
      <c r="COL120" s="33"/>
      <c r="COV120" s="33"/>
      <c r="CPF120" s="33"/>
      <c r="CPP120" s="33"/>
      <c r="CPZ120" s="33"/>
      <c r="CQJ120" s="33"/>
      <c r="CQT120" s="33"/>
      <c r="CRD120" s="33"/>
      <c r="CRN120" s="33"/>
      <c r="CRX120" s="33"/>
      <c r="CSH120" s="33"/>
      <c r="CSR120" s="33"/>
      <c r="CTB120" s="33"/>
      <c r="CTL120" s="33"/>
      <c r="CTV120" s="33"/>
    </row>
    <row r="121" s="16" customFormat="1" customHeight="1" spans="1:1020 1030:2040 2050:2570">
      <c r="A121" s="57"/>
      <c r="B121" s="52"/>
      <c r="C121" s="52"/>
      <c r="D121" s="52"/>
      <c r="E121" s="52"/>
      <c r="F121" s="58" t="str">
        <f>IFERROR(VLOOKUP(E121,日报!E:G,2,0),"")</f>
        <v/>
      </c>
      <c r="G121" s="52"/>
      <c r="H121" s="53" t="str">
        <f>IFERROR(VLOOKUP(E121,基础数据!$E$4:$H$4,4,0),"")</f>
        <v/>
      </c>
      <c r="I121" s="53" t="str">
        <f>IFERROR(VLOOKUP(E121,基础数据!$E$4:$H$4,3,0),"")</f>
        <v/>
      </c>
      <c r="J121" s="52"/>
      <c r="K121" s="54" t="str">
        <f t="shared" si="2"/>
        <v/>
      </c>
      <c r="T121" s="33"/>
      <c r="AD121" s="33"/>
      <c r="AN121" s="33"/>
      <c r="AX121" s="33"/>
      <c r="BH121" s="33"/>
      <c r="BR121" s="33"/>
      <c r="CB121" s="33"/>
      <c r="CL121" s="33"/>
      <c r="CV121" s="33"/>
      <c r="DF121" s="33"/>
      <c r="DP121" s="33"/>
      <c r="DZ121" s="33"/>
      <c r="EJ121" s="33"/>
      <c r="ET121" s="33"/>
      <c r="FD121" s="33"/>
      <c r="FN121" s="33"/>
      <c r="FX121" s="33"/>
      <c r="GH121" s="33"/>
      <c r="GR121" s="33"/>
      <c r="HB121" s="33"/>
      <c r="HL121" s="33"/>
      <c r="HV121" s="33"/>
      <c r="IF121" s="33"/>
      <c r="IP121" s="33"/>
      <c r="IZ121" s="33"/>
      <c r="JJ121" s="33"/>
      <c r="JT121" s="33"/>
      <c r="KD121" s="33"/>
      <c r="KN121" s="33"/>
      <c r="KX121" s="33"/>
      <c r="LH121" s="33"/>
      <c r="LR121" s="33"/>
      <c r="MB121" s="33"/>
      <c r="ML121" s="33"/>
      <c r="MV121" s="33"/>
      <c r="NF121" s="33"/>
      <c r="NP121" s="33"/>
      <c r="NZ121" s="33"/>
      <c r="OJ121" s="33"/>
      <c r="OT121" s="33"/>
      <c r="PD121" s="33"/>
      <c r="PN121" s="33"/>
      <c r="PX121" s="33"/>
      <c r="QH121" s="33"/>
      <c r="QR121" s="33"/>
      <c r="RB121" s="33"/>
      <c r="RL121" s="33"/>
      <c r="RV121" s="33"/>
      <c r="SF121" s="33"/>
      <c r="SP121" s="33"/>
      <c r="SZ121" s="33"/>
      <c r="TJ121" s="33"/>
      <c r="TT121" s="33"/>
      <c r="UD121" s="33"/>
      <c r="UN121" s="33"/>
      <c r="UX121" s="33"/>
      <c r="VH121" s="33"/>
      <c r="VR121" s="33"/>
      <c r="WB121" s="33"/>
      <c r="WL121" s="33"/>
      <c r="WV121" s="33"/>
      <c r="XF121" s="33"/>
      <c r="XP121" s="33"/>
      <c r="XZ121" s="33"/>
      <c r="YJ121" s="33"/>
      <c r="YT121" s="33"/>
      <c r="ZD121" s="33"/>
      <c r="ZN121" s="33"/>
      <c r="ZX121" s="33"/>
      <c r="AAH121" s="33"/>
      <c r="AAR121" s="33"/>
      <c r="ABB121" s="33"/>
      <c r="ABL121" s="33"/>
      <c r="ABV121" s="33"/>
      <c r="ACF121" s="33"/>
      <c r="ACP121" s="33"/>
      <c r="ACZ121" s="33"/>
      <c r="ADJ121" s="33"/>
      <c r="ADT121" s="33"/>
      <c r="AED121" s="33"/>
      <c r="AEN121" s="33"/>
      <c r="AEX121" s="33"/>
      <c r="AFH121" s="33"/>
      <c r="AFR121" s="33"/>
      <c r="AGB121" s="33"/>
      <c r="AGL121" s="33"/>
      <c r="AGV121" s="33"/>
      <c r="AHF121" s="33"/>
      <c r="AHP121" s="33"/>
      <c r="AHZ121" s="33"/>
      <c r="AIJ121" s="33"/>
      <c r="AIT121" s="33"/>
      <c r="AJD121" s="33"/>
      <c r="AJN121" s="33"/>
      <c r="AJX121" s="33"/>
      <c r="AKH121" s="33"/>
      <c r="AKR121" s="33"/>
      <c r="ALB121" s="33"/>
      <c r="ALL121" s="33"/>
      <c r="ALV121" s="33"/>
      <c r="AMF121" s="33"/>
      <c r="AMP121" s="33"/>
      <c r="AMZ121" s="33"/>
      <c r="ANJ121" s="33"/>
      <c r="ANT121" s="33"/>
      <c r="AOD121" s="33"/>
      <c r="AON121" s="33"/>
      <c r="AOX121" s="33"/>
      <c r="APH121" s="33"/>
      <c r="APR121" s="33"/>
      <c r="AQB121" s="33"/>
      <c r="AQL121" s="33"/>
      <c r="AQV121" s="33"/>
      <c r="ARF121" s="33"/>
      <c r="ARP121" s="33"/>
      <c r="ARZ121" s="33"/>
      <c r="ASJ121" s="33"/>
      <c r="AST121" s="33"/>
      <c r="ATD121" s="33"/>
      <c r="ATN121" s="33"/>
      <c r="ATX121" s="33"/>
      <c r="AUH121" s="33"/>
      <c r="AUR121" s="33"/>
      <c r="AVB121" s="33"/>
      <c r="AVL121" s="33"/>
      <c r="AVV121" s="33"/>
      <c r="AWF121" s="33"/>
      <c r="AWP121" s="33"/>
      <c r="AWZ121" s="33"/>
      <c r="AXJ121" s="33"/>
      <c r="AXT121" s="33"/>
      <c r="AYD121" s="33"/>
      <c r="AYN121" s="33"/>
      <c r="AYX121" s="33"/>
      <c r="AZH121" s="33"/>
      <c r="AZR121" s="33"/>
      <c r="BAB121" s="33"/>
      <c r="BAL121" s="33"/>
      <c r="BAV121" s="33"/>
      <c r="BBF121" s="33"/>
      <c r="BBP121" s="33"/>
      <c r="BBZ121" s="33"/>
      <c r="BCJ121" s="33"/>
      <c r="BCT121" s="33"/>
      <c r="BDD121" s="33"/>
      <c r="BDN121" s="33"/>
      <c r="BDX121" s="33"/>
      <c r="BEH121" s="33"/>
      <c r="BER121" s="33"/>
      <c r="BFB121" s="33"/>
      <c r="BFL121" s="33"/>
      <c r="BFV121" s="33"/>
      <c r="BGF121" s="33"/>
      <c r="BGP121" s="33"/>
      <c r="BGZ121" s="33"/>
      <c r="BHJ121" s="33"/>
      <c r="BHT121" s="33"/>
      <c r="BID121" s="33"/>
      <c r="BIN121" s="33"/>
      <c r="BIX121" s="33"/>
      <c r="BJH121" s="33"/>
      <c r="BJR121" s="33"/>
      <c r="BKB121" s="33"/>
      <c r="BKL121" s="33"/>
      <c r="BKV121" s="33"/>
      <c r="BLF121" s="33"/>
      <c r="BLP121" s="33"/>
      <c r="BLZ121" s="33"/>
      <c r="BMJ121" s="33"/>
      <c r="BMT121" s="33"/>
      <c r="BND121" s="33"/>
      <c r="BNN121" s="33"/>
      <c r="BNX121" s="33"/>
      <c r="BOH121" s="33"/>
      <c r="BOR121" s="33"/>
      <c r="BPB121" s="33"/>
      <c r="BPL121" s="33"/>
      <c r="BPV121" s="33"/>
      <c r="BQF121" s="33"/>
      <c r="BQP121" s="33"/>
      <c r="BQZ121" s="33"/>
      <c r="BRJ121" s="33"/>
      <c r="BRT121" s="33"/>
      <c r="BSD121" s="33"/>
      <c r="BSN121" s="33"/>
      <c r="BSX121" s="33"/>
      <c r="BTH121" s="33"/>
      <c r="BTR121" s="33"/>
      <c r="BUB121" s="33"/>
      <c r="BUL121" s="33"/>
      <c r="BUV121" s="33"/>
      <c r="BVF121" s="33"/>
      <c r="BVP121" s="33"/>
      <c r="BVZ121" s="33"/>
      <c r="BWJ121" s="33"/>
      <c r="BWT121" s="33"/>
      <c r="BXD121" s="33"/>
      <c r="BXN121" s="33"/>
      <c r="BXX121" s="33"/>
      <c r="BYH121" s="33"/>
      <c r="BYR121" s="33"/>
      <c r="BZB121" s="33"/>
      <c r="BZL121" s="33"/>
      <c r="BZV121" s="33"/>
      <c r="CAF121" s="33"/>
      <c r="CAP121" s="33"/>
      <c r="CAZ121" s="33"/>
      <c r="CBJ121" s="33"/>
      <c r="CBT121" s="33"/>
      <c r="CCD121" s="33"/>
      <c r="CCN121" s="33"/>
      <c r="CCX121" s="33"/>
      <c r="CDH121" s="33"/>
      <c r="CDR121" s="33"/>
      <c r="CEB121" s="33"/>
      <c r="CEL121" s="33"/>
      <c r="CEV121" s="33"/>
      <c r="CFF121" s="33"/>
      <c r="CFP121" s="33"/>
      <c r="CFZ121" s="33"/>
      <c r="CGJ121" s="33"/>
      <c r="CGT121" s="33"/>
      <c r="CHD121" s="33"/>
      <c r="CHN121" s="33"/>
      <c r="CHX121" s="33"/>
      <c r="CIH121" s="33"/>
      <c r="CIR121" s="33"/>
      <c r="CJB121" s="33"/>
      <c r="CJL121" s="33"/>
      <c r="CJV121" s="33"/>
      <c r="CKF121" s="33"/>
      <c r="CKP121" s="33"/>
      <c r="CKZ121" s="33"/>
      <c r="CLJ121" s="33"/>
      <c r="CLT121" s="33"/>
      <c r="CMD121" s="33"/>
      <c r="CMN121" s="33"/>
      <c r="CMX121" s="33"/>
      <c r="CNH121" s="33"/>
      <c r="CNR121" s="33"/>
      <c r="COB121" s="33"/>
      <c r="COL121" s="33"/>
      <c r="COV121" s="33"/>
      <c r="CPF121" s="33"/>
      <c r="CPP121" s="33"/>
      <c r="CPZ121" s="33"/>
      <c r="CQJ121" s="33"/>
      <c r="CQT121" s="33"/>
      <c r="CRD121" s="33"/>
      <c r="CRN121" s="33"/>
      <c r="CRX121" s="33"/>
      <c r="CSH121" s="33"/>
      <c r="CSR121" s="33"/>
      <c r="CTB121" s="33"/>
      <c r="CTL121" s="33"/>
      <c r="CTV121" s="33"/>
    </row>
    <row r="122" s="16" customFormat="1" customHeight="1" spans="1:1020 1030:2040 2050:2570">
      <c r="A122" s="57"/>
      <c r="B122" s="52"/>
      <c r="C122" s="52"/>
      <c r="D122" s="52"/>
      <c r="E122" s="52"/>
      <c r="F122" s="58" t="str">
        <f>IFERROR(VLOOKUP(E122,日报!E:G,2,0),"")</f>
        <v/>
      </c>
      <c r="G122" s="52"/>
      <c r="H122" s="53" t="str">
        <f>IFERROR(VLOOKUP(E122,基础数据!$E$4:$H$4,4,0),"")</f>
        <v/>
      </c>
      <c r="I122" s="53" t="str">
        <f>IFERROR(VLOOKUP(E122,基础数据!$E$4:$H$4,3,0),"")</f>
        <v/>
      </c>
      <c r="J122" s="52"/>
      <c r="K122" s="54" t="str">
        <f t="shared" si="2"/>
        <v/>
      </c>
      <c r="T122" s="33"/>
      <c r="AD122" s="33"/>
      <c r="AN122" s="33"/>
      <c r="AX122" s="33"/>
      <c r="BH122" s="33"/>
      <c r="BR122" s="33"/>
      <c r="CB122" s="33"/>
      <c r="CL122" s="33"/>
      <c r="CV122" s="33"/>
      <c r="DF122" s="33"/>
      <c r="DP122" s="33"/>
      <c r="DZ122" s="33"/>
      <c r="EJ122" s="33"/>
      <c r="ET122" s="33"/>
      <c r="FD122" s="33"/>
      <c r="FN122" s="33"/>
      <c r="FX122" s="33"/>
      <c r="GH122" s="33"/>
      <c r="GR122" s="33"/>
      <c r="HB122" s="33"/>
      <c r="HL122" s="33"/>
      <c r="HV122" s="33"/>
      <c r="IF122" s="33"/>
      <c r="IP122" s="33"/>
      <c r="IZ122" s="33"/>
      <c r="JJ122" s="33"/>
      <c r="JT122" s="33"/>
      <c r="KD122" s="33"/>
      <c r="KN122" s="33"/>
      <c r="KX122" s="33"/>
      <c r="LH122" s="33"/>
      <c r="LR122" s="33"/>
      <c r="MB122" s="33"/>
      <c r="ML122" s="33"/>
      <c r="MV122" s="33"/>
      <c r="NF122" s="33"/>
      <c r="NP122" s="33"/>
      <c r="NZ122" s="33"/>
      <c r="OJ122" s="33"/>
      <c r="OT122" s="33"/>
      <c r="PD122" s="33"/>
      <c r="PN122" s="33"/>
      <c r="PX122" s="33"/>
      <c r="QH122" s="33"/>
      <c r="QR122" s="33"/>
      <c r="RB122" s="33"/>
      <c r="RL122" s="33"/>
      <c r="RV122" s="33"/>
      <c r="SF122" s="33"/>
      <c r="SP122" s="33"/>
      <c r="SZ122" s="33"/>
      <c r="TJ122" s="33"/>
      <c r="TT122" s="33"/>
      <c r="UD122" s="33"/>
      <c r="UN122" s="33"/>
      <c r="UX122" s="33"/>
      <c r="VH122" s="33"/>
      <c r="VR122" s="33"/>
      <c r="WB122" s="33"/>
      <c r="WL122" s="33"/>
      <c r="WV122" s="33"/>
      <c r="XF122" s="33"/>
      <c r="XP122" s="33"/>
      <c r="XZ122" s="33"/>
      <c r="YJ122" s="33"/>
      <c r="YT122" s="33"/>
      <c r="ZD122" s="33"/>
      <c r="ZN122" s="33"/>
      <c r="ZX122" s="33"/>
      <c r="AAH122" s="33"/>
      <c r="AAR122" s="33"/>
      <c r="ABB122" s="33"/>
      <c r="ABL122" s="33"/>
      <c r="ABV122" s="33"/>
      <c r="ACF122" s="33"/>
      <c r="ACP122" s="33"/>
      <c r="ACZ122" s="33"/>
      <c r="ADJ122" s="33"/>
      <c r="ADT122" s="33"/>
      <c r="AED122" s="33"/>
      <c r="AEN122" s="33"/>
      <c r="AEX122" s="33"/>
      <c r="AFH122" s="33"/>
      <c r="AFR122" s="33"/>
      <c r="AGB122" s="33"/>
      <c r="AGL122" s="33"/>
      <c r="AGV122" s="33"/>
      <c r="AHF122" s="33"/>
      <c r="AHP122" s="33"/>
      <c r="AHZ122" s="33"/>
      <c r="AIJ122" s="33"/>
      <c r="AIT122" s="33"/>
      <c r="AJD122" s="33"/>
      <c r="AJN122" s="33"/>
      <c r="AJX122" s="33"/>
      <c r="AKH122" s="33"/>
      <c r="AKR122" s="33"/>
      <c r="ALB122" s="33"/>
      <c r="ALL122" s="33"/>
      <c r="ALV122" s="33"/>
      <c r="AMF122" s="33"/>
      <c r="AMP122" s="33"/>
      <c r="AMZ122" s="33"/>
      <c r="ANJ122" s="33"/>
      <c r="ANT122" s="33"/>
      <c r="AOD122" s="33"/>
      <c r="AON122" s="33"/>
      <c r="AOX122" s="33"/>
      <c r="APH122" s="33"/>
      <c r="APR122" s="33"/>
      <c r="AQB122" s="33"/>
      <c r="AQL122" s="33"/>
      <c r="AQV122" s="33"/>
      <c r="ARF122" s="33"/>
      <c r="ARP122" s="33"/>
      <c r="ARZ122" s="33"/>
      <c r="ASJ122" s="33"/>
      <c r="AST122" s="33"/>
      <c r="ATD122" s="33"/>
      <c r="ATN122" s="33"/>
      <c r="ATX122" s="33"/>
      <c r="AUH122" s="33"/>
      <c r="AUR122" s="33"/>
      <c r="AVB122" s="33"/>
      <c r="AVL122" s="33"/>
      <c r="AVV122" s="33"/>
      <c r="AWF122" s="33"/>
      <c r="AWP122" s="33"/>
      <c r="AWZ122" s="33"/>
      <c r="AXJ122" s="33"/>
      <c r="AXT122" s="33"/>
      <c r="AYD122" s="33"/>
      <c r="AYN122" s="33"/>
      <c r="AYX122" s="33"/>
      <c r="AZH122" s="33"/>
      <c r="AZR122" s="33"/>
      <c r="BAB122" s="33"/>
      <c r="BAL122" s="33"/>
      <c r="BAV122" s="33"/>
      <c r="BBF122" s="33"/>
      <c r="BBP122" s="33"/>
      <c r="BBZ122" s="33"/>
      <c r="BCJ122" s="33"/>
      <c r="BCT122" s="33"/>
      <c r="BDD122" s="33"/>
      <c r="BDN122" s="33"/>
      <c r="BDX122" s="33"/>
      <c r="BEH122" s="33"/>
      <c r="BER122" s="33"/>
      <c r="BFB122" s="33"/>
      <c r="BFL122" s="33"/>
      <c r="BFV122" s="33"/>
      <c r="BGF122" s="33"/>
      <c r="BGP122" s="33"/>
      <c r="BGZ122" s="33"/>
      <c r="BHJ122" s="33"/>
      <c r="BHT122" s="33"/>
      <c r="BID122" s="33"/>
      <c r="BIN122" s="33"/>
      <c r="BIX122" s="33"/>
      <c r="BJH122" s="33"/>
      <c r="BJR122" s="33"/>
      <c r="BKB122" s="33"/>
      <c r="BKL122" s="33"/>
      <c r="BKV122" s="33"/>
      <c r="BLF122" s="33"/>
      <c r="BLP122" s="33"/>
      <c r="BLZ122" s="33"/>
      <c r="BMJ122" s="33"/>
      <c r="BMT122" s="33"/>
      <c r="BND122" s="33"/>
      <c r="BNN122" s="33"/>
      <c r="BNX122" s="33"/>
      <c r="BOH122" s="33"/>
      <c r="BOR122" s="33"/>
      <c r="BPB122" s="33"/>
      <c r="BPL122" s="33"/>
      <c r="BPV122" s="33"/>
      <c r="BQF122" s="33"/>
      <c r="BQP122" s="33"/>
      <c r="BQZ122" s="33"/>
      <c r="BRJ122" s="33"/>
      <c r="BRT122" s="33"/>
      <c r="BSD122" s="33"/>
      <c r="BSN122" s="33"/>
      <c r="BSX122" s="33"/>
      <c r="BTH122" s="33"/>
      <c r="BTR122" s="33"/>
      <c r="BUB122" s="33"/>
      <c r="BUL122" s="33"/>
      <c r="BUV122" s="33"/>
      <c r="BVF122" s="33"/>
      <c r="BVP122" s="33"/>
      <c r="BVZ122" s="33"/>
      <c r="BWJ122" s="33"/>
      <c r="BWT122" s="33"/>
      <c r="BXD122" s="33"/>
      <c r="BXN122" s="33"/>
      <c r="BXX122" s="33"/>
      <c r="BYH122" s="33"/>
      <c r="BYR122" s="33"/>
      <c r="BZB122" s="33"/>
      <c r="BZL122" s="33"/>
      <c r="BZV122" s="33"/>
      <c r="CAF122" s="33"/>
      <c r="CAP122" s="33"/>
      <c r="CAZ122" s="33"/>
      <c r="CBJ122" s="33"/>
      <c r="CBT122" s="33"/>
      <c r="CCD122" s="33"/>
      <c r="CCN122" s="33"/>
      <c r="CCX122" s="33"/>
      <c r="CDH122" s="33"/>
      <c r="CDR122" s="33"/>
      <c r="CEB122" s="33"/>
      <c r="CEL122" s="33"/>
      <c r="CEV122" s="33"/>
      <c r="CFF122" s="33"/>
      <c r="CFP122" s="33"/>
      <c r="CFZ122" s="33"/>
      <c r="CGJ122" s="33"/>
      <c r="CGT122" s="33"/>
      <c r="CHD122" s="33"/>
      <c r="CHN122" s="33"/>
      <c r="CHX122" s="33"/>
      <c r="CIH122" s="33"/>
      <c r="CIR122" s="33"/>
      <c r="CJB122" s="33"/>
      <c r="CJL122" s="33"/>
      <c r="CJV122" s="33"/>
      <c r="CKF122" s="33"/>
      <c r="CKP122" s="33"/>
      <c r="CKZ122" s="33"/>
      <c r="CLJ122" s="33"/>
      <c r="CLT122" s="33"/>
      <c r="CMD122" s="33"/>
      <c r="CMN122" s="33"/>
      <c r="CMX122" s="33"/>
      <c r="CNH122" s="33"/>
      <c r="CNR122" s="33"/>
      <c r="COB122" s="33"/>
      <c r="COL122" s="33"/>
      <c r="COV122" s="33"/>
      <c r="CPF122" s="33"/>
      <c r="CPP122" s="33"/>
      <c r="CPZ122" s="33"/>
      <c r="CQJ122" s="33"/>
      <c r="CQT122" s="33"/>
      <c r="CRD122" s="33"/>
      <c r="CRN122" s="33"/>
      <c r="CRX122" s="33"/>
      <c r="CSH122" s="33"/>
      <c r="CSR122" s="33"/>
      <c r="CTB122" s="33"/>
      <c r="CTL122" s="33"/>
      <c r="CTV122" s="33"/>
    </row>
    <row r="123" s="16" customFormat="1" customHeight="1" spans="1:1020 1030:2040 2050:2570">
      <c r="A123" s="57"/>
      <c r="B123" s="52"/>
      <c r="C123" s="52"/>
      <c r="D123" s="52"/>
      <c r="E123" s="52"/>
      <c r="F123" s="58" t="str">
        <f>IFERROR(VLOOKUP(E123,日报!E:G,2,0),"")</f>
        <v/>
      </c>
      <c r="G123" s="52"/>
      <c r="H123" s="53" t="str">
        <f>IFERROR(VLOOKUP(E123,基础数据!$E$4:$H$4,4,0),"")</f>
        <v/>
      </c>
      <c r="I123" s="53" t="str">
        <f>IFERROR(VLOOKUP(E123,基础数据!$E$4:$H$4,3,0),"")</f>
        <v/>
      </c>
      <c r="J123" s="52"/>
      <c r="K123" s="54" t="str">
        <f t="shared" si="2"/>
        <v/>
      </c>
      <c r="T123" s="33"/>
      <c r="AD123" s="33"/>
      <c r="AN123" s="33"/>
      <c r="AX123" s="33"/>
      <c r="BH123" s="33"/>
      <c r="BR123" s="33"/>
      <c r="CB123" s="33"/>
      <c r="CL123" s="33"/>
      <c r="CV123" s="33"/>
      <c r="DF123" s="33"/>
      <c r="DP123" s="33"/>
      <c r="DZ123" s="33"/>
      <c r="EJ123" s="33"/>
      <c r="ET123" s="33"/>
      <c r="FD123" s="33"/>
      <c r="FN123" s="33"/>
      <c r="FX123" s="33"/>
      <c r="GH123" s="33"/>
      <c r="GR123" s="33"/>
      <c r="HB123" s="33"/>
      <c r="HL123" s="33"/>
      <c r="HV123" s="33"/>
      <c r="IF123" s="33"/>
      <c r="IP123" s="33"/>
      <c r="IZ123" s="33"/>
      <c r="JJ123" s="33"/>
      <c r="JT123" s="33"/>
      <c r="KD123" s="33"/>
      <c r="KN123" s="33"/>
      <c r="KX123" s="33"/>
      <c r="LH123" s="33"/>
      <c r="LR123" s="33"/>
      <c r="MB123" s="33"/>
      <c r="ML123" s="33"/>
      <c r="MV123" s="33"/>
      <c r="NF123" s="33"/>
      <c r="NP123" s="33"/>
      <c r="NZ123" s="33"/>
      <c r="OJ123" s="33"/>
      <c r="OT123" s="33"/>
      <c r="PD123" s="33"/>
      <c r="PN123" s="33"/>
      <c r="PX123" s="33"/>
      <c r="QH123" s="33"/>
      <c r="QR123" s="33"/>
      <c r="RB123" s="33"/>
      <c r="RL123" s="33"/>
      <c r="RV123" s="33"/>
      <c r="SF123" s="33"/>
      <c r="SP123" s="33"/>
      <c r="SZ123" s="33"/>
      <c r="TJ123" s="33"/>
      <c r="TT123" s="33"/>
      <c r="UD123" s="33"/>
      <c r="UN123" s="33"/>
      <c r="UX123" s="33"/>
      <c r="VH123" s="33"/>
      <c r="VR123" s="33"/>
      <c r="WB123" s="33"/>
      <c r="WL123" s="33"/>
      <c r="WV123" s="33"/>
      <c r="XF123" s="33"/>
      <c r="XP123" s="33"/>
      <c r="XZ123" s="33"/>
      <c r="YJ123" s="33"/>
      <c r="YT123" s="33"/>
      <c r="ZD123" s="33"/>
      <c r="ZN123" s="33"/>
      <c r="ZX123" s="33"/>
      <c r="AAH123" s="33"/>
      <c r="AAR123" s="33"/>
      <c r="ABB123" s="33"/>
      <c r="ABL123" s="33"/>
      <c r="ABV123" s="33"/>
      <c r="ACF123" s="33"/>
      <c r="ACP123" s="33"/>
      <c r="ACZ123" s="33"/>
      <c r="ADJ123" s="33"/>
      <c r="ADT123" s="33"/>
      <c r="AED123" s="33"/>
      <c r="AEN123" s="33"/>
      <c r="AEX123" s="33"/>
      <c r="AFH123" s="33"/>
      <c r="AFR123" s="33"/>
      <c r="AGB123" s="33"/>
      <c r="AGL123" s="33"/>
      <c r="AGV123" s="33"/>
      <c r="AHF123" s="33"/>
      <c r="AHP123" s="33"/>
      <c r="AHZ123" s="33"/>
      <c r="AIJ123" s="33"/>
      <c r="AIT123" s="33"/>
      <c r="AJD123" s="33"/>
      <c r="AJN123" s="33"/>
      <c r="AJX123" s="33"/>
      <c r="AKH123" s="33"/>
      <c r="AKR123" s="33"/>
      <c r="ALB123" s="33"/>
      <c r="ALL123" s="33"/>
      <c r="ALV123" s="33"/>
      <c r="AMF123" s="33"/>
      <c r="AMP123" s="33"/>
      <c r="AMZ123" s="33"/>
      <c r="ANJ123" s="33"/>
      <c r="ANT123" s="33"/>
      <c r="AOD123" s="33"/>
      <c r="AON123" s="33"/>
      <c r="AOX123" s="33"/>
      <c r="APH123" s="33"/>
      <c r="APR123" s="33"/>
      <c r="AQB123" s="33"/>
      <c r="AQL123" s="33"/>
      <c r="AQV123" s="33"/>
      <c r="ARF123" s="33"/>
      <c r="ARP123" s="33"/>
      <c r="ARZ123" s="33"/>
      <c r="ASJ123" s="33"/>
      <c r="AST123" s="33"/>
      <c r="ATD123" s="33"/>
      <c r="ATN123" s="33"/>
      <c r="ATX123" s="33"/>
      <c r="AUH123" s="33"/>
      <c r="AUR123" s="33"/>
      <c r="AVB123" s="33"/>
      <c r="AVL123" s="33"/>
      <c r="AVV123" s="33"/>
      <c r="AWF123" s="33"/>
      <c r="AWP123" s="33"/>
      <c r="AWZ123" s="33"/>
      <c r="AXJ123" s="33"/>
      <c r="AXT123" s="33"/>
      <c r="AYD123" s="33"/>
      <c r="AYN123" s="33"/>
      <c r="AYX123" s="33"/>
      <c r="AZH123" s="33"/>
      <c r="AZR123" s="33"/>
      <c r="BAB123" s="33"/>
      <c r="BAL123" s="33"/>
      <c r="BAV123" s="33"/>
      <c r="BBF123" s="33"/>
      <c r="BBP123" s="33"/>
      <c r="BBZ123" s="33"/>
      <c r="BCJ123" s="33"/>
      <c r="BCT123" s="33"/>
      <c r="BDD123" s="33"/>
      <c r="BDN123" s="33"/>
      <c r="BDX123" s="33"/>
      <c r="BEH123" s="33"/>
      <c r="BER123" s="33"/>
      <c r="BFB123" s="33"/>
      <c r="BFL123" s="33"/>
      <c r="BFV123" s="33"/>
      <c r="BGF123" s="33"/>
      <c r="BGP123" s="33"/>
      <c r="BGZ123" s="33"/>
      <c r="BHJ123" s="33"/>
      <c r="BHT123" s="33"/>
      <c r="BID123" s="33"/>
      <c r="BIN123" s="33"/>
      <c r="BIX123" s="33"/>
      <c r="BJH123" s="33"/>
      <c r="BJR123" s="33"/>
      <c r="BKB123" s="33"/>
      <c r="BKL123" s="33"/>
      <c r="BKV123" s="33"/>
      <c r="BLF123" s="33"/>
      <c r="BLP123" s="33"/>
      <c r="BLZ123" s="33"/>
      <c r="BMJ123" s="33"/>
      <c r="BMT123" s="33"/>
      <c r="BND123" s="33"/>
      <c r="BNN123" s="33"/>
      <c r="BNX123" s="33"/>
      <c r="BOH123" s="33"/>
      <c r="BOR123" s="33"/>
      <c r="BPB123" s="33"/>
      <c r="BPL123" s="33"/>
      <c r="BPV123" s="33"/>
      <c r="BQF123" s="33"/>
      <c r="BQP123" s="33"/>
      <c r="BQZ123" s="33"/>
      <c r="BRJ123" s="33"/>
      <c r="BRT123" s="33"/>
      <c r="BSD123" s="33"/>
      <c r="BSN123" s="33"/>
      <c r="BSX123" s="33"/>
      <c r="BTH123" s="33"/>
      <c r="BTR123" s="33"/>
      <c r="BUB123" s="33"/>
      <c r="BUL123" s="33"/>
      <c r="BUV123" s="33"/>
      <c r="BVF123" s="33"/>
      <c r="BVP123" s="33"/>
      <c r="BVZ123" s="33"/>
      <c r="BWJ123" s="33"/>
      <c r="BWT123" s="33"/>
      <c r="BXD123" s="33"/>
      <c r="BXN123" s="33"/>
      <c r="BXX123" s="33"/>
      <c r="BYH123" s="33"/>
      <c r="BYR123" s="33"/>
      <c r="BZB123" s="33"/>
      <c r="BZL123" s="33"/>
      <c r="BZV123" s="33"/>
      <c r="CAF123" s="33"/>
      <c r="CAP123" s="33"/>
      <c r="CAZ123" s="33"/>
      <c r="CBJ123" s="33"/>
      <c r="CBT123" s="33"/>
      <c r="CCD123" s="33"/>
      <c r="CCN123" s="33"/>
      <c r="CCX123" s="33"/>
      <c r="CDH123" s="33"/>
      <c r="CDR123" s="33"/>
      <c r="CEB123" s="33"/>
      <c r="CEL123" s="33"/>
      <c r="CEV123" s="33"/>
      <c r="CFF123" s="33"/>
      <c r="CFP123" s="33"/>
      <c r="CFZ123" s="33"/>
      <c r="CGJ123" s="33"/>
      <c r="CGT123" s="33"/>
      <c r="CHD123" s="33"/>
      <c r="CHN123" s="33"/>
      <c r="CHX123" s="33"/>
      <c r="CIH123" s="33"/>
      <c r="CIR123" s="33"/>
      <c r="CJB123" s="33"/>
      <c r="CJL123" s="33"/>
      <c r="CJV123" s="33"/>
      <c r="CKF123" s="33"/>
      <c r="CKP123" s="33"/>
      <c r="CKZ123" s="33"/>
      <c r="CLJ123" s="33"/>
      <c r="CLT123" s="33"/>
      <c r="CMD123" s="33"/>
      <c r="CMN123" s="33"/>
      <c r="CMX123" s="33"/>
      <c r="CNH123" s="33"/>
      <c r="CNR123" s="33"/>
      <c r="COB123" s="33"/>
      <c r="COL123" s="33"/>
      <c r="COV123" s="33"/>
      <c r="CPF123" s="33"/>
      <c r="CPP123" s="33"/>
      <c r="CPZ123" s="33"/>
      <c r="CQJ123" s="33"/>
      <c r="CQT123" s="33"/>
      <c r="CRD123" s="33"/>
      <c r="CRN123" s="33"/>
      <c r="CRX123" s="33"/>
      <c r="CSH123" s="33"/>
      <c r="CSR123" s="33"/>
      <c r="CTB123" s="33"/>
      <c r="CTL123" s="33"/>
      <c r="CTV123" s="33"/>
    </row>
    <row r="124" s="16" customFormat="1" customHeight="1" spans="1:1020 1030:2040 2050:2570">
      <c r="A124" s="57"/>
      <c r="B124" s="52"/>
      <c r="C124" s="52"/>
      <c r="D124" s="52"/>
      <c r="E124" s="52"/>
      <c r="F124" s="58" t="str">
        <f>IFERROR(VLOOKUP(E124,日报!E:G,2,0),"")</f>
        <v/>
      </c>
      <c r="G124" s="52"/>
      <c r="H124" s="53" t="str">
        <f>IFERROR(VLOOKUP(E124,基础数据!$E$4:$H$4,4,0),"")</f>
        <v/>
      </c>
      <c r="I124" s="53" t="str">
        <f>IFERROR(VLOOKUP(E124,基础数据!$E$4:$H$4,3,0),"")</f>
        <v/>
      </c>
      <c r="J124" s="52"/>
      <c r="K124" s="54" t="str">
        <f t="shared" si="2"/>
        <v/>
      </c>
      <c r="T124" s="33"/>
      <c r="AD124" s="33"/>
      <c r="AN124" s="33"/>
      <c r="AX124" s="33"/>
      <c r="BH124" s="33"/>
      <c r="BR124" s="33"/>
      <c r="CB124" s="33"/>
      <c r="CL124" s="33"/>
      <c r="CV124" s="33"/>
      <c r="DF124" s="33"/>
      <c r="DP124" s="33"/>
      <c r="DZ124" s="33"/>
      <c r="EJ124" s="33"/>
      <c r="ET124" s="33"/>
      <c r="FD124" s="33"/>
      <c r="FN124" s="33"/>
      <c r="FX124" s="33"/>
      <c r="GH124" s="33"/>
      <c r="GR124" s="33"/>
      <c r="HB124" s="33"/>
      <c r="HL124" s="33"/>
      <c r="HV124" s="33"/>
      <c r="IF124" s="33"/>
      <c r="IP124" s="33"/>
      <c r="IZ124" s="33"/>
      <c r="JJ124" s="33"/>
      <c r="JT124" s="33"/>
      <c r="KD124" s="33"/>
      <c r="KN124" s="33"/>
      <c r="KX124" s="33"/>
      <c r="LH124" s="33"/>
      <c r="LR124" s="33"/>
      <c r="MB124" s="33"/>
      <c r="ML124" s="33"/>
      <c r="MV124" s="33"/>
      <c r="NF124" s="33"/>
      <c r="NP124" s="33"/>
      <c r="NZ124" s="33"/>
      <c r="OJ124" s="33"/>
      <c r="OT124" s="33"/>
      <c r="PD124" s="33"/>
      <c r="PN124" s="33"/>
      <c r="PX124" s="33"/>
      <c r="QH124" s="33"/>
      <c r="QR124" s="33"/>
      <c r="RB124" s="33"/>
      <c r="RL124" s="33"/>
      <c r="RV124" s="33"/>
      <c r="SF124" s="33"/>
      <c r="SP124" s="33"/>
      <c r="SZ124" s="33"/>
      <c r="TJ124" s="33"/>
      <c r="TT124" s="33"/>
      <c r="UD124" s="33"/>
      <c r="UN124" s="33"/>
      <c r="UX124" s="33"/>
      <c r="VH124" s="33"/>
      <c r="VR124" s="33"/>
      <c r="WB124" s="33"/>
      <c r="WL124" s="33"/>
      <c r="WV124" s="33"/>
      <c r="XF124" s="33"/>
      <c r="XP124" s="33"/>
      <c r="XZ124" s="33"/>
      <c r="YJ124" s="33"/>
      <c r="YT124" s="33"/>
      <c r="ZD124" s="33"/>
      <c r="ZN124" s="33"/>
      <c r="ZX124" s="33"/>
      <c r="AAH124" s="33"/>
      <c r="AAR124" s="33"/>
      <c r="ABB124" s="33"/>
      <c r="ABL124" s="33"/>
      <c r="ABV124" s="33"/>
      <c r="ACF124" s="33"/>
      <c r="ACP124" s="33"/>
      <c r="ACZ124" s="33"/>
      <c r="ADJ124" s="33"/>
      <c r="ADT124" s="33"/>
      <c r="AED124" s="33"/>
      <c r="AEN124" s="33"/>
      <c r="AEX124" s="33"/>
      <c r="AFH124" s="33"/>
      <c r="AFR124" s="33"/>
      <c r="AGB124" s="33"/>
      <c r="AGL124" s="33"/>
      <c r="AGV124" s="33"/>
      <c r="AHF124" s="33"/>
      <c r="AHP124" s="33"/>
      <c r="AHZ124" s="33"/>
      <c r="AIJ124" s="33"/>
      <c r="AIT124" s="33"/>
      <c r="AJD124" s="33"/>
      <c r="AJN124" s="33"/>
      <c r="AJX124" s="33"/>
      <c r="AKH124" s="33"/>
      <c r="AKR124" s="33"/>
      <c r="ALB124" s="33"/>
      <c r="ALL124" s="33"/>
      <c r="ALV124" s="33"/>
      <c r="AMF124" s="33"/>
      <c r="AMP124" s="33"/>
      <c r="AMZ124" s="33"/>
      <c r="ANJ124" s="33"/>
      <c r="ANT124" s="33"/>
      <c r="AOD124" s="33"/>
      <c r="AON124" s="33"/>
      <c r="AOX124" s="33"/>
      <c r="APH124" s="33"/>
      <c r="APR124" s="33"/>
      <c r="AQB124" s="33"/>
      <c r="AQL124" s="33"/>
      <c r="AQV124" s="33"/>
      <c r="ARF124" s="33"/>
      <c r="ARP124" s="33"/>
      <c r="ARZ124" s="33"/>
      <c r="ASJ124" s="33"/>
      <c r="AST124" s="33"/>
      <c r="ATD124" s="33"/>
      <c r="ATN124" s="33"/>
      <c r="ATX124" s="33"/>
      <c r="AUH124" s="33"/>
      <c r="AUR124" s="33"/>
      <c r="AVB124" s="33"/>
      <c r="AVL124" s="33"/>
      <c r="AVV124" s="33"/>
      <c r="AWF124" s="33"/>
      <c r="AWP124" s="33"/>
      <c r="AWZ124" s="33"/>
      <c r="AXJ124" s="33"/>
      <c r="AXT124" s="33"/>
      <c r="AYD124" s="33"/>
      <c r="AYN124" s="33"/>
      <c r="AYX124" s="33"/>
      <c r="AZH124" s="33"/>
      <c r="AZR124" s="33"/>
      <c r="BAB124" s="33"/>
      <c r="BAL124" s="33"/>
      <c r="BAV124" s="33"/>
      <c r="BBF124" s="33"/>
      <c r="BBP124" s="33"/>
      <c r="BBZ124" s="33"/>
      <c r="BCJ124" s="33"/>
      <c r="BCT124" s="33"/>
      <c r="BDD124" s="33"/>
      <c r="BDN124" s="33"/>
      <c r="BDX124" s="33"/>
      <c r="BEH124" s="33"/>
      <c r="BER124" s="33"/>
      <c r="BFB124" s="33"/>
      <c r="BFL124" s="33"/>
      <c r="BFV124" s="33"/>
      <c r="BGF124" s="33"/>
      <c r="BGP124" s="33"/>
      <c r="BGZ124" s="33"/>
      <c r="BHJ124" s="33"/>
      <c r="BHT124" s="33"/>
      <c r="BID124" s="33"/>
      <c r="BIN124" s="33"/>
      <c r="BIX124" s="33"/>
      <c r="BJH124" s="33"/>
      <c r="BJR124" s="33"/>
      <c r="BKB124" s="33"/>
      <c r="BKL124" s="33"/>
      <c r="BKV124" s="33"/>
      <c r="BLF124" s="33"/>
      <c r="BLP124" s="33"/>
      <c r="BLZ124" s="33"/>
      <c r="BMJ124" s="33"/>
      <c r="BMT124" s="33"/>
      <c r="BND124" s="33"/>
      <c r="BNN124" s="33"/>
      <c r="BNX124" s="33"/>
      <c r="BOH124" s="33"/>
      <c r="BOR124" s="33"/>
      <c r="BPB124" s="33"/>
      <c r="BPL124" s="33"/>
      <c r="BPV124" s="33"/>
      <c r="BQF124" s="33"/>
      <c r="BQP124" s="33"/>
      <c r="BQZ124" s="33"/>
      <c r="BRJ124" s="33"/>
      <c r="BRT124" s="33"/>
      <c r="BSD124" s="33"/>
      <c r="BSN124" s="33"/>
      <c r="BSX124" s="33"/>
      <c r="BTH124" s="33"/>
      <c r="BTR124" s="33"/>
      <c r="BUB124" s="33"/>
      <c r="BUL124" s="33"/>
      <c r="BUV124" s="33"/>
      <c r="BVF124" s="33"/>
      <c r="BVP124" s="33"/>
      <c r="BVZ124" s="33"/>
      <c r="BWJ124" s="33"/>
      <c r="BWT124" s="33"/>
      <c r="BXD124" s="33"/>
      <c r="BXN124" s="33"/>
      <c r="BXX124" s="33"/>
      <c r="BYH124" s="33"/>
      <c r="BYR124" s="33"/>
      <c r="BZB124" s="33"/>
      <c r="BZL124" s="33"/>
      <c r="BZV124" s="33"/>
      <c r="CAF124" s="33"/>
      <c r="CAP124" s="33"/>
      <c r="CAZ124" s="33"/>
      <c r="CBJ124" s="33"/>
      <c r="CBT124" s="33"/>
      <c r="CCD124" s="33"/>
      <c r="CCN124" s="33"/>
      <c r="CCX124" s="33"/>
      <c r="CDH124" s="33"/>
      <c r="CDR124" s="33"/>
      <c r="CEB124" s="33"/>
      <c r="CEL124" s="33"/>
      <c r="CEV124" s="33"/>
      <c r="CFF124" s="33"/>
      <c r="CFP124" s="33"/>
      <c r="CFZ124" s="33"/>
      <c r="CGJ124" s="33"/>
      <c r="CGT124" s="33"/>
      <c r="CHD124" s="33"/>
      <c r="CHN124" s="33"/>
      <c r="CHX124" s="33"/>
      <c r="CIH124" s="33"/>
      <c r="CIR124" s="33"/>
      <c r="CJB124" s="33"/>
      <c r="CJL124" s="33"/>
      <c r="CJV124" s="33"/>
      <c r="CKF124" s="33"/>
      <c r="CKP124" s="33"/>
      <c r="CKZ124" s="33"/>
      <c r="CLJ124" s="33"/>
      <c r="CLT124" s="33"/>
      <c r="CMD124" s="33"/>
      <c r="CMN124" s="33"/>
      <c r="CMX124" s="33"/>
      <c r="CNH124" s="33"/>
      <c r="CNR124" s="33"/>
      <c r="COB124" s="33"/>
      <c r="COL124" s="33"/>
      <c r="COV124" s="33"/>
      <c r="CPF124" s="33"/>
      <c r="CPP124" s="33"/>
      <c r="CPZ124" s="33"/>
      <c r="CQJ124" s="33"/>
      <c r="CQT124" s="33"/>
      <c r="CRD124" s="33"/>
      <c r="CRN124" s="33"/>
      <c r="CRX124" s="33"/>
      <c r="CSH124" s="33"/>
      <c r="CSR124" s="33"/>
      <c r="CTB124" s="33"/>
      <c r="CTL124" s="33"/>
      <c r="CTV124" s="33"/>
    </row>
    <row r="125" s="16" customFormat="1" customHeight="1" spans="1:1020 1030:2040 2050:2570">
      <c r="A125" s="57"/>
      <c r="B125" s="52"/>
      <c r="C125" s="52"/>
      <c r="D125" s="52"/>
      <c r="E125" s="52"/>
      <c r="F125" s="58" t="str">
        <f>IFERROR(VLOOKUP(E125,日报!E:G,2,0),"")</f>
        <v/>
      </c>
      <c r="G125" s="52"/>
      <c r="H125" s="53" t="str">
        <f>IFERROR(VLOOKUP(E125,基础数据!$E$4:$H$4,4,0),"")</f>
        <v/>
      </c>
      <c r="I125" s="53" t="str">
        <f>IFERROR(VLOOKUP(E125,基础数据!$E$4:$H$4,3,0),"")</f>
        <v/>
      </c>
      <c r="J125" s="52"/>
      <c r="K125" s="54" t="str">
        <f t="shared" si="2"/>
        <v/>
      </c>
      <c r="T125" s="33"/>
      <c r="AD125" s="33"/>
      <c r="AN125" s="33"/>
      <c r="AX125" s="33"/>
      <c r="BH125" s="33"/>
      <c r="BR125" s="33"/>
      <c r="CB125" s="33"/>
      <c r="CL125" s="33"/>
      <c r="CV125" s="33"/>
      <c r="DF125" s="33"/>
      <c r="DP125" s="33"/>
      <c r="DZ125" s="33"/>
      <c r="EJ125" s="33"/>
      <c r="ET125" s="33"/>
      <c r="FD125" s="33"/>
      <c r="FN125" s="33"/>
      <c r="FX125" s="33"/>
      <c r="GH125" s="33"/>
      <c r="GR125" s="33"/>
      <c r="HB125" s="33"/>
      <c r="HL125" s="33"/>
      <c r="HV125" s="33"/>
      <c r="IF125" s="33"/>
      <c r="IP125" s="33"/>
      <c r="IZ125" s="33"/>
      <c r="JJ125" s="33"/>
      <c r="JT125" s="33"/>
      <c r="KD125" s="33"/>
      <c r="KN125" s="33"/>
      <c r="KX125" s="33"/>
      <c r="LH125" s="33"/>
      <c r="LR125" s="33"/>
      <c r="MB125" s="33"/>
      <c r="ML125" s="33"/>
      <c r="MV125" s="33"/>
      <c r="NF125" s="33"/>
      <c r="NP125" s="33"/>
      <c r="NZ125" s="33"/>
      <c r="OJ125" s="33"/>
      <c r="OT125" s="33"/>
      <c r="PD125" s="33"/>
      <c r="PN125" s="33"/>
      <c r="PX125" s="33"/>
      <c r="QH125" s="33"/>
      <c r="QR125" s="33"/>
      <c r="RB125" s="33"/>
      <c r="RL125" s="33"/>
      <c r="RV125" s="33"/>
      <c r="SF125" s="33"/>
      <c r="SP125" s="33"/>
      <c r="SZ125" s="33"/>
      <c r="TJ125" s="33"/>
      <c r="TT125" s="33"/>
      <c r="UD125" s="33"/>
      <c r="UN125" s="33"/>
      <c r="UX125" s="33"/>
      <c r="VH125" s="33"/>
      <c r="VR125" s="33"/>
      <c r="WB125" s="33"/>
      <c r="WL125" s="33"/>
      <c r="WV125" s="33"/>
      <c r="XF125" s="33"/>
      <c r="XP125" s="33"/>
      <c r="XZ125" s="33"/>
      <c r="YJ125" s="33"/>
      <c r="YT125" s="33"/>
      <c r="ZD125" s="33"/>
      <c r="ZN125" s="33"/>
      <c r="ZX125" s="33"/>
      <c r="AAH125" s="33"/>
      <c r="AAR125" s="33"/>
      <c r="ABB125" s="33"/>
      <c r="ABL125" s="33"/>
      <c r="ABV125" s="33"/>
      <c r="ACF125" s="33"/>
      <c r="ACP125" s="33"/>
      <c r="ACZ125" s="33"/>
      <c r="ADJ125" s="33"/>
      <c r="ADT125" s="33"/>
      <c r="AED125" s="33"/>
      <c r="AEN125" s="33"/>
      <c r="AEX125" s="33"/>
      <c r="AFH125" s="33"/>
      <c r="AFR125" s="33"/>
      <c r="AGB125" s="33"/>
      <c r="AGL125" s="33"/>
      <c r="AGV125" s="33"/>
      <c r="AHF125" s="33"/>
      <c r="AHP125" s="33"/>
      <c r="AHZ125" s="33"/>
      <c r="AIJ125" s="33"/>
      <c r="AIT125" s="33"/>
      <c r="AJD125" s="33"/>
      <c r="AJN125" s="33"/>
      <c r="AJX125" s="33"/>
      <c r="AKH125" s="33"/>
      <c r="AKR125" s="33"/>
      <c r="ALB125" s="33"/>
      <c r="ALL125" s="33"/>
      <c r="ALV125" s="33"/>
      <c r="AMF125" s="33"/>
      <c r="AMP125" s="33"/>
      <c r="AMZ125" s="33"/>
      <c r="ANJ125" s="33"/>
      <c r="ANT125" s="33"/>
      <c r="AOD125" s="33"/>
      <c r="AON125" s="33"/>
      <c r="AOX125" s="33"/>
      <c r="APH125" s="33"/>
      <c r="APR125" s="33"/>
      <c r="AQB125" s="33"/>
      <c r="AQL125" s="33"/>
      <c r="AQV125" s="33"/>
      <c r="ARF125" s="33"/>
      <c r="ARP125" s="33"/>
      <c r="ARZ125" s="33"/>
      <c r="ASJ125" s="33"/>
      <c r="AST125" s="33"/>
      <c r="ATD125" s="33"/>
      <c r="ATN125" s="33"/>
      <c r="ATX125" s="33"/>
      <c r="AUH125" s="33"/>
      <c r="AUR125" s="33"/>
      <c r="AVB125" s="33"/>
      <c r="AVL125" s="33"/>
      <c r="AVV125" s="33"/>
      <c r="AWF125" s="33"/>
      <c r="AWP125" s="33"/>
      <c r="AWZ125" s="33"/>
      <c r="AXJ125" s="33"/>
      <c r="AXT125" s="33"/>
      <c r="AYD125" s="33"/>
      <c r="AYN125" s="33"/>
      <c r="AYX125" s="33"/>
      <c r="AZH125" s="33"/>
      <c r="AZR125" s="33"/>
      <c r="BAB125" s="33"/>
      <c r="BAL125" s="33"/>
      <c r="BAV125" s="33"/>
      <c r="BBF125" s="33"/>
      <c r="BBP125" s="33"/>
      <c r="BBZ125" s="33"/>
      <c r="BCJ125" s="33"/>
      <c r="BCT125" s="33"/>
      <c r="BDD125" s="33"/>
      <c r="BDN125" s="33"/>
      <c r="BDX125" s="33"/>
      <c r="BEH125" s="33"/>
      <c r="BER125" s="33"/>
      <c r="BFB125" s="33"/>
      <c r="BFL125" s="33"/>
      <c r="BFV125" s="33"/>
      <c r="BGF125" s="33"/>
      <c r="BGP125" s="33"/>
      <c r="BGZ125" s="33"/>
      <c r="BHJ125" s="33"/>
      <c r="BHT125" s="33"/>
      <c r="BID125" s="33"/>
      <c r="BIN125" s="33"/>
      <c r="BIX125" s="33"/>
      <c r="BJH125" s="33"/>
      <c r="BJR125" s="33"/>
      <c r="BKB125" s="33"/>
      <c r="BKL125" s="33"/>
      <c r="BKV125" s="33"/>
      <c r="BLF125" s="33"/>
      <c r="BLP125" s="33"/>
      <c r="BLZ125" s="33"/>
      <c r="BMJ125" s="33"/>
      <c r="BMT125" s="33"/>
      <c r="BND125" s="33"/>
      <c r="BNN125" s="33"/>
      <c r="BNX125" s="33"/>
      <c r="BOH125" s="33"/>
      <c r="BOR125" s="33"/>
      <c r="BPB125" s="33"/>
      <c r="BPL125" s="33"/>
      <c r="BPV125" s="33"/>
      <c r="BQF125" s="33"/>
      <c r="BQP125" s="33"/>
      <c r="BQZ125" s="33"/>
      <c r="BRJ125" s="33"/>
      <c r="BRT125" s="33"/>
      <c r="BSD125" s="33"/>
      <c r="BSN125" s="33"/>
      <c r="BSX125" s="33"/>
      <c r="BTH125" s="33"/>
      <c r="BTR125" s="33"/>
      <c r="BUB125" s="33"/>
      <c r="BUL125" s="33"/>
      <c r="BUV125" s="33"/>
      <c r="BVF125" s="33"/>
      <c r="BVP125" s="33"/>
      <c r="BVZ125" s="33"/>
      <c r="BWJ125" s="33"/>
      <c r="BWT125" s="33"/>
      <c r="BXD125" s="33"/>
      <c r="BXN125" s="33"/>
      <c r="BXX125" s="33"/>
      <c r="BYH125" s="33"/>
      <c r="BYR125" s="33"/>
      <c r="BZB125" s="33"/>
      <c r="BZL125" s="33"/>
      <c r="BZV125" s="33"/>
      <c r="CAF125" s="33"/>
      <c r="CAP125" s="33"/>
      <c r="CAZ125" s="33"/>
      <c r="CBJ125" s="33"/>
      <c r="CBT125" s="33"/>
      <c r="CCD125" s="33"/>
      <c r="CCN125" s="33"/>
      <c r="CCX125" s="33"/>
      <c r="CDH125" s="33"/>
      <c r="CDR125" s="33"/>
      <c r="CEB125" s="33"/>
      <c r="CEL125" s="33"/>
      <c r="CEV125" s="33"/>
      <c r="CFF125" s="33"/>
      <c r="CFP125" s="33"/>
      <c r="CFZ125" s="33"/>
      <c r="CGJ125" s="33"/>
      <c r="CGT125" s="33"/>
      <c r="CHD125" s="33"/>
      <c r="CHN125" s="33"/>
      <c r="CHX125" s="33"/>
      <c r="CIH125" s="33"/>
      <c r="CIR125" s="33"/>
      <c r="CJB125" s="33"/>
      <c r="CJL125" s="33"/>
      <c r="CJV125" s="33"/>
      <c r="CKF125" s="33"/>
      <c r="CKP125" s="33"/>
      <c r="CKZ125" s="33"/>
      <c r="CLJ125" s="33"/>
      <c r="CLT125" s="33"/>
      <c r="CMD125" s="33"/>
      <c r="CMN125" s="33"/>
      <c r="CMX125" s="33"/>
      <c r="CNH125" s="33"/>
      <c r="CNR125" s="33"/>
      <c r="COB125" s="33"/>
      <c r="COL125" s="33"/>
      <c r="COV125" s="33"/>
      <c r="CPF125" s="33"/>
      <c r="CPP125" s="33"/>
      <c r="CPZ125" s="33"/>
      <c r="CQJ125" s="33"/>
      <c r="CQT125" s="33"/>
      <c r="CRD125" s="33"/>
      <c r="CRN125" s="33"/>
      <c r="CRX125" s="33"/>
      <c r="CSH125" s="33"/>
      <c r="CSR125" s="33"/>
      <c r="CTB125" s="33"/>
      <c r="CTL125" s="33"/>
      <c r="CTV125" s="33"/>
    </row>
    <row r="126" s="16" customFormat="1" customHeight="1" spans="1:1020 1030:2040 2050:2570">
      <c r="A126" s="57"/>
      <c r="B126" s="52"/>
      <c r="C126" s="52"/>
      <c r="D126" s="52"/>
      <c r="E126" s="52"/>
      <c r="F126" s="58" t="str">
        <f>IFERROR(VLOOKUP(E126,日报!E:G,2,0),"")</f>
        <v/>
      </c>
      <c r="G126" s="52"/>
      <c r="H126" s="53" t="str">
        <f>IFERROR(VLOOKUP(E126,基础数据!$E$4:$H$4,4,0),"")</f>
        <v/>
      </c>
      <c r="I126" s="53" t="str">
        <f>IFERROR(VLOOKUP(E126,基础数据!$E$4:$H$4,3,0),"")</f>
        <v/>
      </c>
      <c r="J126" s="52"/>
      <c r="K126" s="54" t="str">
        <f t="shared" si="2"/>
        <v/>
      </c>
      <c r="T126" s="33"/>
      <c r="AD126" s="33"/>
      <c r="AN126" s="33"/>
      <c r="AX126" s="33"/>
      <c r="BH126" s="33"/>
      <c r="BR126" s="33"/>
      <c r="CB126" s="33"/>
      <c r="CL126" s="33"/>
      <c r="CV126" s="33"/>
      <c r="DF126" s="33"/>
      <c r="DP126" s="33"/>
      <c r="DZ126" s="33"/>
      <c r="EJ126" s="33"/>
      <c r="ET126" s="33"/>
      <c r="FD126" s="33"/>
      <c r="FN126" s="33"/>
      <c r="FX126" s="33"/>
      <c r="GH126" s="33"/>
      <c r="GR126" s="33"/>
      <c r="HB126" s="33"/>
      <c r="HL126" s="33"/>
      <c r="HV126" s="33"/>
      <c r="IF126" s="33"/>
      <c r="IP126" s="33"/>
      <c r="IZ126" s="33"/>
      <c r="JJ126" s="33"/>
      <c r="JT126" s="33"/>
      <c r="KD126" s="33"/>
      <c r="KN126" s="33"/>
      <c r="KX126" s="33"/>
      <c r="LH126" s="33"/>
      <c r="LR126" s="33"/>
      <c r="MB126" s="33"/>
      <c r="ML126" s="33"/>
      <c r="MV126" s="33"/>
      <c r="NF126" s="33"/>
      <c r="NP126" s="33"/>
      <c r="NZ126" s="33"/>
      <c r="OJ126" s="33"/>
      <c r="OT126" s="33"/>
      <c r="PD126" s="33"/>
      <c r="PN126" s="33"/>
      <c r="PX126" s="33"/>
      <c r="QH126" s="33"/>
      <c r="QR126" s="33"/>
      <c r="RB126" s="33"/>
      <c r="RL126" s="33"/>
      <c r="RV126" s="33"/>
      <c r="SF126" s="33"/>
      <c r="SP126" s="33"/>
      <c r="SZ126" s="33"/>
      <c r="TJ126" s="33"/>
      <c r="TT126" s="33"/>
      <c r="UD126" s="33"/>
      <c r="UN126" s="33"/>
      <c r="UX126" s="33"/>
      <c r="VH126" s="33"/>
      <c r="VR126" s="33"/>
      <c r="WB126" s="33"/>
      <c r="WL126" s="33"/>
      <c r="WV126" s="33"/>
      <c r="XF126" s="33"/>
      <c r="XP126" s="33"/>
      <c r="XZ126" s="33"/>
      <c r="YJ126" s="33"/>
      <c r="YT126" s="33"/>
      <c r="ZD126" s="33"/>
      <c r="ZN126" s="33"/>
      <c r="ZX126" s="33"/>
      <c r="AAH126" s="33"/>
      <c r="AAR126" s="33"/>
      <c r="ABB126" s="33"/>
      <c r="ABL126" s="33"/>
      <c r="ABV126" s="33"/>
      <c r="ACF126" s="33"/>
      <c r="ACP126" s="33"/>
      <c r="ACZ126" s="33"/>
      <c r="ADJ126" s="33"/>
      <c r="ADT126" s="33"/>
      <c r="AED126" s="33"/>
      <c r="AEN126" s="33"/>
      <c r="AEX126" s="33"/>
      <c r="AFH126" s="33"/>
      <c r="AFR126" s="33"/>
      <c r="AGB126" s="33"/>
      <c r="AGL126" s="33"/>
      <c r="AGV126" s="33"/>
      <c r="AHF126" s="33"/>
      <c r="AHP126" s="33"/>
      <c r="AHZ126" s="33"/>
      <c r="AIJ126" s="33"/>
      <c r="AIT126" s="33"/>
      <c r="AJD126" s="33"/>
      <c r="AJN126" s="33"/>
      <c r="AJX126" s="33"/>
      <c r="AKH126" s="33"/>
      <c r="AKR126" s="33"/>
      <c r="ALB126" s="33"/>
      <c r="ALL126" s="33"/>
      <c r="ALV126" s="33"/>
      <c r="AMF126" s="33"/>
      <c r="AMP126" s="33"/>
      <c r="AMZ126" s="33"/>
      <c r="ANJ126" s="33"/>
      <c r="ANT126" s="33"/>
      <c r="AOD126" s="33"/>
      <c r="AON126" s="33"/>
      <c r="AOX126" s="33"/>
      <c r="APH126" s="33"/>
      <c r="APR126" s="33"/>
      <c r="AQB126" s="33"/>
      <c r="AQL126" s="33"/>
      <c r="AQV126" s="33"/>
      <c r="ARF126" s="33"/>
      <c r="ARP126" s="33"/>
      <c r="ARZ126" s="33"/>
      <c r="ASJ126" s="33"/>
      <c r="AST126" s="33"/>
      <c r="ATD126" s="33"/>
      <c r="ATN126" s="33"/>
      <c r="ATX126" s="33"/>
      <c r="AUH126" s="33"/>
      <c r="AUR126" s="33"/>
      <c r="AVB126" s="33"/>
      <c r="AVL126" s="33"/>
      <c r="AVV126" s="33"/>
      <c r="AWF126" s="33"/>
      <c r="AWP126" s="33"/>
      <c r="AWZ126" s="33"/>
      <c r="AXJ126" s="33"/>
      <c r="AXT126" s="33"/>
      <c r="AYD126" s="33"/>
      <c r="AYN126" s="33"/>
      <c r="AYX126" s="33"/>
      <c r="AZH126" s="33"/>
      <c r="AZR126" s="33"/>
      <c r="BAB126" s="33"/>
      <c r="BAL126" s="33"/>
      <c r="BAV126" s="33"/>
      <c r="BBF126" s="33"/>
      <c r="BBP126" s="33"/>
      <c r="BBZ126" s="33"/>
      <c r="BCJ126" s="33"/>
      <c r="BCT126" s="33"/>
      <c r="BDD126" s="33"/>
      <c r="BDN126" s="33"/>
      <c r="BDX126" s="33"/>
      <c r="BEH126" s="33"/>
      <c r="BER126" s="33"/>
      <c r="BFB126" s="33"/>
      <c r="BFL126" s="33"/>
      <c r="BFV126" s="33"/>
      <c r="BGF126" s="33"/>
      <c r="BGP126" s="33"/>
      <c r="BGZ126" s="33"/>
      <c r="BHJ126" s="33"/>
      <c r="BHT126" s="33"/>
      <c r="BID126" s="33"/>
      <c r="BIN126" s="33"/>
      <c r="BIX126" s="33"/>
      <c r="BJH126" s="33"/>
      <c r="BJR126" s="33"/>
      <c r="BKB126" s="33"/>
      <c r="BKL126" s="33"/>
      <c r="BKV126" s="33"/>
      <c r="BLF126" s="33"/>
      <c r="BLP126" s="33"/>
      <c r="BLZ126" s="33"/>
      <c r="BMJ126" s="33"/>
      <c r="BMT126" s="33"/>
      <c r="BND126" s="33"/>
      <c r="BNN126" s="33"/>
      <c r="BNX126" s="33"/>
      <c r="BOH126" s="33"/>
      <c r="BOR126" s="33"/>
      <c r="BPB126" s="33"/>
      <c r="BPL126" s="33"/>
      <c r="BPV126" s="33"/>
      <c r="BQF126" s="33"/>
      <c r="BQP126" s="33"/>
      <c r="BQZ126" s="33"/>
      <c r="BRJ126" s="33"/>
      <c r="BRT126" s="33"/>
      <c r="BSD126" s="33"/>
      <c r="BSN126" s="33"/>
      <c r="BSX126" s="33"/>
      <c r="BTH126" s="33"/>
      <c r="BTR126" s="33"/>
      <c r="BUB126" s="33"/>
      <c r="BUL126" s="33"/>
      <c r="BUV126" s="33"/>
      <c r="BVF126" s="33"/>
      <c r="BVP126" s="33"/>
      <c r="BVZ126" s="33"/>
      <c r="BWJ126" s="33"/>
      <c r="BWT126" s="33"/>
      <c r="BXD126" s="33"/>
      <c r="BXN126" s="33"/>
      <c r="BXX126" s="33"/>
      <c r="BYH126" s="33"/>
      <c r="BYR126" s="33"/>
      <c r="BZB126" s="33"/>
      <c r="BZL126" s="33"/>
      <c r="BZV126" s="33"/>
      <c r="CAF126" s="33"/>
      <c r="CAP126" s="33"/>
      <c r="CAZ126" s="33"/>
      <c r="CBJ126" s="33"/>
      <c r="CBT126" s="33"/>
      <c r="CCD126" s="33"/>
      <c r="CCN126" s="33"/>
      <c r="CCX126" s="33"/>
      <c r="CDH126" s="33"/>
      <c r="CDR126" s="33"/>
      <c r="CEB126" s="33"/>
      <c r="CEL126" s="33"/>
      <c r="CEV126" s="33"/>
      <c r="CFF126" s="33"/>
      <c r="CFP126" s="33"/>
      <c r="CFZ126" s="33"/>
      <c r="CGJ126" s="33"/>
      <c r="CGT126" s="33"/>
      <c r="CHD126" s="33"/>
      <c r="CHN126" s="33"/>
      <c r="CHX126" s="33"/>
      <c r="CIH126" s="33"/>
      <c r="CIR126" s="33"/>
      <c r="CJB126" s="33"/>
      <c r="CJL126" s="33"/>
      <c r="CJV126" s="33"/>
      <c r="CKF126" s="33"/>
      <c r="CKP126" s="33"/>
      <c r="CKZ126" s="33"/>
      <c r="CLJ126" s="33"/>
      <c r="CLT126" s="33"/>
      <c r="CMD126" s="33"/>
      <c r="CMN126" s="33"/>
      <c r="CMX126" s="33"/>
      <c r="CNH126" s="33"/>
      <c r="CNR126" s="33"/>
      <c r="COB126" s="33"/>
      <c r="COL126" s="33"/>
      <c r="COV126" s="33"/>
      <c r="CPF126" s="33"/>
      <c r="CPP126" s="33"/>
      <c r="CPZ126" s="33"/>
      <c r="CQJ126" s="33"/>
      <c r="CQT126" s="33"/>
      <c r="CRD126" s="33"/>
      <c r="CRN126" s="33"/>
      <c r="CRX126" s="33"/>
      <c r="CSH126" s="33"/>
      <c r="CSR126" s="33"/>
      <c r="CTB126" s="33"/>
      <c r="CTL126" s="33"/>
      <c r="CTV126" s="33"/>
    </row>
    <row r="127" s="16" customFormat="1" customHeight="1" spans="1:1020 1030:2040 2050:2570">
      <c r="A127" s="57"/>
      <c r="B127" s="52"/>
      <c r="C127" s="52"/>
      <c r="D127" s="52"/>
      <c r="E127" s="52"/>
      <c r="F127" s="58" t="str">
        <f>IFERROR(VLOOKUP(E127,日报!E:G,2,0),"")</f>
        <v/>
      </c>
      <c r="G127" s="52"/>
      <c r="H127" s="53" t="str">
        <f>IFERROR(VLOOKUP(E127,基础数据!$E$4:$H$4,4,0),"")</f>
        <v/>
      </c>
      <c r="I127" s="53" t="str">
        <f>IFERROR(VLOOKUP(E127,基础数据!$E$4:$H$4,3,0),"")</f>
        <v/>
      </c>
      <c r="J127" s="52"/>
      <c r="K127" s="54" t="str">
        <f t="shared" si="2"/>
        <v/>
      </c>
      <c r="T127" s="33"/>
      <c r="AD127" s="33"/>
      <c r="AN127" s="33"/>
      <c r="AX127" s="33"/>
      <c r="BH127" s="33"/>
      <c r="BR127" s="33"/>
      <c r="CB127" s="33"/>
      <c r="CL127" s="33"/>
      <c r="CV127" s="33"/>
      <c r="DF127" s="33"/>
      <c r="DP127" s="33"/>
      <c r="DZ127" s="33"/>
      <c r="EJ127" s="33"/>
      <c r="ET127" s="33"/>
      <c r="FD127" s="33"/>
      <c r="FN127" s="33"/>
      <c r="FX127" s="33"/>
      <c r="GH127" s="33"/>
      <c r="GR127" s="33"/>
      <c r="HB127" s="33"/>
      <c r="HL127" s="33"/>
      <c r="HV127" s="33"/>
      <c r="IF127" s="33"/>
      <c r="IP127" s="33"/>
      <c r="IZ127" s="33"/>
      <c r="JJ127" s="33"/>
      <c r="JT127" s="33"/>
      <c r="KD127" s="33"/>
      <c r="KN127" s="33"/>
      <c r="KX127" s="33"/>
      <c r="LH127" s="33"/>
      <c r="LR127" s="33"/>
      <c r="MB127" s="33"/>
      <c r="ML127" s="33"/>
      <c r="MV127" s="33"/>
      <c r="NF127" s="33"/>
      <c r="NP127" s="33"/>
      <c r="NZ127" s="33"/>
      <c r="OJ127" s="33"/>
      <c r="OT127" s="33"/>
      <c r="PD127" s="33"/>
      <c r="PN127" s="33"/>
      <c r="PX127" s="33"/>
      <c r="QH127" s="33"/>
      <c r="QR127" s="33"/>
      <c r="RB127" s="33"/>
      <c r="RL127" s="33"/>
      <c r="RV127" s="33"/>
      <c r="SF127" s="33"/>
      <c r="SP127" s="33"/>
      <c r="SZ127" s="33"/>
      <c r="TJ127" s="33"/>
      <c r="TT127" s="33"/>
      <c r="UD127" s="33"/>
      <c r="UN127" s="33"/>
      <c r="UX127" s="33"/>
      <c r="VH127" s="33"/>
      <c r="VR127" s="33"/>
      <c r="WB127" s="33"/>
      <c r="WL127" s="33"/>
      <c r="WV127" s="33"/>
      <c r="XF127" s="33"/>
      <c r="XP127" s="33"/>
      <c r="XZ127" s="33"/>
      <c r="YJ127" s="33"/>
      <c r="YT127" s="33"/>
      <c r="ZD127" s="33"/>
      <c r="ZN127" s="33"/>
      <c r="ZX127" s="33"/>
      <c r="AAH127" s="33"/>
      <c r="AAR127" s="33"/>
      <c r="ABB127" s="33"/>
      <c r="ABL127" s="33"/>
      <c r="ABV127" s="33"/>
      <c r="ACF127" s="33"/>
      <c r="ACP127" s="33"/>
      <c r="ACZ127" s="33"/>
      <c r="ADJ127" s="33"/>
      <c r="ADT127" s="33"/>
      <c r="AED127" s="33"/>
      <c r="AEN127" s="33"/>
      <c r="AEX127" s="33"/>
      <c r="AFH127" s="33"/>
      <c r="AFR127" s="33"/>
      <c r="AGB127" s="33"/>
      <c r="AGL127" s="33"/>
      <c r="AGV127" s="33"/>
      <c r="AHF127" s="33"/>
      <c r="AHP127" s="33"/>
      <c r="AHZ127" s="33"/>
      <c r="AIJ127" s="33"/>
      <c r="AIT127" s="33"/>
      <c r="AJD127" s="33"/>
      <c r="AJN127" s="33"/>
      <c r="AJX127" s="33"/>
      <c r="AKH127" s="33"/>
      <c r="AKR127" s="33"/>
      <c r="ALB127" s="33"/>
      <c r="ALL127" s="33"/>
      <c r="ALV127" s="33"/>
      <c r="AMF127" s="33"/>
      <c r="AMP127" s="33"/>
      <c r="AMZ127" s="33"/>
      <c r="ANJ127" s="33"/>
      <c r="ANT127" s="33"/>
      <c r="AOD127" s="33"/>
      <c r="AON127" s="33"/>
      <c r="AOX127" s="33"/>
      <c r="APH127" s="33"/>
      <c r="APR127" s="33"/>
      <c r="AQB127" s="33"/>
      <c r="AQL127" s="33"/>
      <c r="AQV127" s="33"/>
      <c r="ARF127" s="33"/>
      <c r="ARP127" s="33"/>
      <c r="ARZ127" s="33"/>
      <c r="ASJ127" s="33"/>
      <c r="AST127" s="33"/>
      <c r="ATD127" s="33"/>
      <c r="ATN127" s="33"/>
      <c r="ATX127" s="33"/>
      <c r="AUH127" s="33"/>
      <c r="AUR127" s="33"/>
      <c r="AVB127" s="33"/>
      <c r="AVL127" s="33"/>
      <c r="AVV127" s="33"/>
      <c r="AWF127" s="33"/>
      <c r="AWP127" s="33"/>
      <c r="AWZ127" s="33"/>
      <c r="AXJ127" s="33"/>
      <c r="AXT127" s="33"/>
      <c r="AYD127" s="33"/>
      <c r="AYN127" s="33"/>
      <c r="AYX127" s="33"/>
      <c r="AZH127" s="33"/>
      <c r="AZR127" s="33"/>
      <c r="BAB127" s="33"/>
      <c r="BAL127" s="33"/>
      <c r="BAV127" s="33"/>
      <c r="BBF127" s="33"/>
      <c r="BBP127" s="33"/>
      <c r="BBZ127" s="33"/>
      <c r="BCJ127" s="33"/>
      <c r="BCT127" s="33"/>
      <c r="BDD127" s="33"/>
      <c r="BDN127" s="33"/>
      <c r="BDX127" s="33"/>
      <c r="BEH127" s="33"/>
      <c r="BER127" s="33"/>
      <c r="BFB127" s="33"/>
      <c r="BFL127" s="33"/>
      <c r="BFV127" s="33"/>
      <c r="BGF127" s="33"/>
      <c r="BGP127" s="33"/>
      <c r="BGZ127" s="33"/>
      <c r="BHJ127" s="33"/>
      <c r="BHT127" s="33"/>
      <c r="BID127" s="33"/>
      <c r="BIN127" s="33"/>
      <c r="BIX127" s="33"/>
      <c r="BJH127" s="33"/>
      <c r="BJR127" s="33"/>
      <c r="BKB127" s="33"/>
      <c r="BKL127" s="33"/>
      <c r="BKV127" s="33"/>
      <c r="BLF127" s="33"/>
      <c r="BLP127" s="33"/>
      <c r="BLZ127" s="33"/>
      <c r="BMJ127" s="33"/>
      <c r="BMT127" s="33"/>
      <c r="BND127" s="33"/>
      <c r="BNN127" s="33"/>
      <c r="BNX127" s="33"/>
      <c r="BOH127" s="33"/>
      <c r="BOR127" s="33"/>
      <c r="BPB127" s="33"/>
      <c r="BPL127" s="33"/>
      <c r="BPV127" s="33"/>
      <c r="BQF127" s="33"/>
      <c r="BQP127" s="33"/>
      <c r="BQZ127" s="33"/>
      <c r="BRJ127" s="33"/>
      <c r="BRT127" s="33"/>
      <c r="BSD127" s="33"/>
      <c r="BSN127" s="33"/>
      <c r="BSX127" s="33"/>
      <c r="BTH127" s="33"/>
      <c r="BTR127" s="33"/>
      <c r="BUB127" s="33"/>
      <c r="BUL127" s="33"/>
      <c r="BUV127" s="33"/>
      <c r="BVF127" s="33"/>
      <c r="BVP127" s="33"/>
      <c r="BVZ127" s="33"/>
      <c r="BWJ127" s="33"/>
      <c r="BWT127" s="33"/>
      <c r="BXD127" s="33"/>
      <c r="BXN127" s="33"/>
      <c r="BXX127" s="33"/>
      <c r="BYH127" s="33"/>
      <c r="BYR127" s="33"/>
      <c r="BZB127" s="33"/>
      <c r="BZL127" s="33"/>
      <c r="BZV127" s="33"/>
      <c r="CAF127" s="33"/>
      <c r="CAP127" s="33"/>
      <c r="CAZ127" s="33"/>
      <c r="CBJ127" s="33"/>
      <c r="CBT127" s="33"/>
      <c r="CCD127" s="33"/>
      <c r="CCN127" s="33"/>
      <c r="CCX127" s="33"/>
      <c r="CDH127" s="33"/>
      <c r="CDR127" s="33"/>
      <c r="CEB127" s="33"/>
      <c r="CEL127" s="33"/>
      <c r="CEV127" s="33"/>
      <c r="CFF127" s="33"/>
      <c r="CFP127" s="33"/>
      <c r="CFZ127" s="33"/>
      <c r="CGJ127" s="33"/>
      <c r="CGT127" s="33"/>
      <c r="CHD127" s="33"/>
      <c r="CHN127" s="33"/>
      <c r="CHX127" s="33"/>
      <c r="CIH127" s="33"/>
      <c r="CIR127" s="33"/>
      <c r="CJB127" s="33"/>
      <c r="CJL127" s="33"/>
      <c r="CJV127" s="33"/>
      <c r="CKF127" s="33"/>
      <c r="CKP127" s="33"/>
      <c r="CKZ127" s="33"/>
      <c r="CLJ127" s="33"/>
      <c r="CLT127" s="33"/>
      <c r="CMD127" s="33"/>
      <c r="CMN127" s="33"/>
      <c r="CMX127" s="33"/>
      <c r="CNH127" s="33"/>
      <c r="CNR127" s="33"/>
      <c r="COB127" s="33"/>
      <c r="COL127" s="33"/>
      <c r="COV127" s="33"/>
      <c r="CPF127" s="33"/>
      <c r="CPP127" s="33"/>
      <c r="CPZ127" s="33"/>
      <c r="CQJ127" s="33"/>
      <c r="CQT127" s="33"/>
      <c r="CRD127" s="33"/>
      <c r="CRN127" s="33"/>
      <c r="CRX127" s="33"/>
      <c r="CSH127" s="33"/>
      <c r="CSR127" s="33"/>
      <c r="CTB127" s="33"/>
      <c r="CTL127" s="33"/>
      <c r="CTV127" s="33"/>
    </row>
    <row r="128" s="16" customFormat="1" customHeight="1" spans="1:1020 1030:2040 2050:2570">
      <c r="A128" s="57"/>
      <c r="B128" s="52"/>
      <c r="C128" s="52"/>
      <c r="D128" s="52"/>
      <c r="E128" s="52"/>
      <c r="F128" s="58" t="str">
        <f>IFERROR(VLOOKUP(E128,日报!E:G,2,0),"")</f>
        <v/>
      </c>
      <c r="G128" s="52"/>
      <c r="H128" s="53" t="str">
        <f>IFERROR(VLOOKUP(E128,基础数据!$E$4:$H$4,4,0),"")</f>
        <v/>
      </c>
      <c r="I128" s="53" t="str">
        <f>IFERROR(VLOOKUP(E128,基础数据!$E$4:$H$4,3,0),"")</f>
        <v/>
      </c>
      <c r="J128" s="52"/>
      <c r="K128" s="54" t="str">
        <f t="shared" si="2"/>
        <v/>
      </c>
      <c r="T128" s="33"/>
      <c r="AD128" s="33"/>
      <c r="AN128" s="33"/>
      <c r="AX128" s="33"/>
      <c r="BH128" s="33"/>
      <c r="BR128" s="33"/>
      <c r="CB128" s="33"/>
      <c r="CL128" s="33"/>
      <c r="CV128" s="33"/>
      <c r="DF128" s="33"/>
      <c r="DP128" s="33"/>
      <c r="DZ128" s="33"/>
      <c r="EJ128" s="33"/>
      <c r="ET128" s="33"/>
      <c r="FD128" s="33"/>
      <c r="FN128" s="33"/>
      <c r="FX128" s="33"/>
      <c r="GH128" s="33"/>
      <c r="GR128" s="33"/>
      <c r="HB128" s="33"/>
      <c r="HL128" s="33"/>
      <c r="HV128" s="33"/>
      <c r="IF128" s="33"/>
      <c r="IP128" s="33"/>
      <c r="IZ128" s="33"/>
      <c r="JJ128" s="33"/>
      <c r="JT128" s="33"/>
      <c r="KD128" s="33"/>
      <c r="KN128" s="33"/>
      <c r="KX128" s="33"/>
      <c r="LH128" s="33"/>
      <c r="LR128" s="33"/>
      <c r="MB128" s="33"/>
      <c r="ML128" s="33"/>
      <c r="MV128" s="33"/>
      <c r="NF128" s="33"/>
      <c r="NP128" s="33"/>
      <c r="NZ128" s="33"/>
      <c r="OJ128" s="33"/>
      <c r="OT128" s="33"/>
      <c r="PD128" s="33"/>
      <c r="PN128" s="33"/>
      <c r="PX128" s="33"/>
      <c r="QH128" s="33"/>
      <c r="QR128" s="33"/>
      <c r="RB128" s="33"/>
      <c r="RL128" s="33"/>
      <c r="RV128" s="33"/>
      <c r="SF128" s="33"/>
      <c r="SP128" s="33"/>
      <c r="SZ128" s="33"/>
      <c r="TJ128" s="33"/>
      <c r="TT128" s="33"/>
      <c r="UD128" s="33"/>
      <c r="UN128" s="33"/>
      <c r="UX128" s="33"/>
      <c r="VH128" s="33"/>
      <c r="VR128" s="33"/>
      <c r="WB128" s="33"/>
      <c r="WL128" s="33"/>
      <c r="WV128" s="33"/>
      <c r="XF128" s="33"/>
      <c r="XP128" s="33"/>
      <c r="XZ128" s="33"/>
      <c r="YJ128" s="33"/>
      <c r="YT128" s="33"/>
      <c r="ZD128" s="33"/>
      <c r="ZN128" s="33"/>
      <c r="ZX128" s="33"/>
      <c r="AAH128" s="33"/>
      <c r="AAR128" s="33"/>
      <c r="ABB128" s="33"/>
      <c r="ABL128" s="33"/>
      <c r="ABV128" s="33"/>
      <c r="ACF128" s="33"/>
      <c r="ACP128" s="33"/>
      <c r="ACZ128" s="33"/>
      <c r="ADJ128" s="33"/>
      <c r="ADT128" s="33"/>
      <c r="AED128" s="33"/>
      <c r="AEN128" s="33"/>
      <c r="AEX128" s="33"/>
      <c r="AFH128" s="33"/>
      <c r="AFR128" s="33"/>
      <c r="AGB128" s="33"/>
      <c r="AGL128" s="33"/>
      <c r="AGV128" s="33"/>
      <c r="AHF128" s="33"/>
      <c r="AHP128" s="33"/>
      <c r="AHZ128" s="33"/>
      <c r="AIJ128" s="33"/>
      <c r="AIT128" s="33"/>
      <c r="AJD128" s="33"/>
      <c r="AJN128" s="33"/>
      <c r="AJX128" s="33"/>
      <c r="AKH128" s="33"/>
      <c r="AKR128" s="33"/>
      <c r="ALB128" s="33"/>
      <c r="ALL128" s="33"/>
      <c r="ALV128" s="33"/>
      <c r="AMF128" s="33"/>
      <c r="AMP128" s="33"/>
      <c r="AMZ128" s="33"/>
      <c r="ANJ128" s="33"/>
      <c r="ANT128" s="33"/>
      <c r="AOD128" s="33"/>
      <c r="AON128" s="33"/>
      <c r="AOX128" s="33"/>
      <c r="APH128" s="33"/>
      <c r="APR128" s="33"/>
      <c r="AQB128" s="33"/>
      <c r="AQL128" s="33"/>
      <c r="AQV128" s="33"/>
      <c r="ARF128" s="33"/>
      <c r="ARP128" s="33"/>
      <c r="ARZ128" s="33"/>
      <c r="ASJ128" s="33"/>
      <c r="AST128" s="33"/>
      <c r="ATD128" s="33"/>
      <c r="ATN128" s="33"/>
      <c r="ATX128" s="33"/>
      <c r="AUH128" s="33"/>
      <c r="AUR128" s="33"/>
      <c r="AVB128" s="33"/>
      <c r="AVL128" s="33"/>
      <c r="AVV128" s="33"/>
      <c r="AWF128" s="33"/>
      <c r="AWP128" s="33"/>
      <c r="AWZ128" s="33"/>
      <c r="AXJ128" s="33"/>
      <c r="AXT128" s="33"/>
      <c r="AYD128" s="33"/>
      <c r="AYN128" s="33"/>
      <c r="AYX128" s="33"/>
      <c r="AZH128" s="33"/>
      <c r="AZR128" s="33"/>
      <c r="BAB128" s="33"/>
      <c r="BAL128" s="33"/>
      <c r="BAV128" s="33"/>
      <c r="BBF128" s="33"/>
      <c r="BBP128" s="33"/>
      <c r="BBZ128" s="33"/>
      <c r="BCJ128" s="33"/>
      <c r="BCT128" s="33"/>
      <c r="BDD128" s="33"/>
      <c r="BDN128" s="33"/>
      <c r="BDX128" s="33"/>
      <c r="BEH128" s="33"/>
      <c r="BER128" s="33"/>
      <c r="BFB128" s="33"/>
      <c r="BFL128" s="33"/>
      <c r="BFV128" s="33"/>
      <c r="BGF128" s="33"/>
      <c r="BGP128" s="33"/>
      <c r="BGZ128" s="33"/>
      <c r="BHJ128" s="33"/>
      <c r="BHT128" s="33"/>
      <c r="BID128" s="33"/>
      <c r="BIN128" s="33"/>
      <c r="BIX128" s="33"/>
      <c r="BJH128" s="33"/>
      <c r="BJR128" s="33"/>
      <c r="BKB128" s="33"/>
      <c r="BKL128" s="33"/>
      <c r="BKV128" s="33"/>
      <c r="BLF128" s="33"/>
      <c r="BLP128" s="33"/>
      <c r="BLZ128" s="33"/>
      <c r="BMJ128" s="33"/>
      <c r="BMT128" s="33"/>
      <c r="BND128" s="33"/>
      <c r="BNN128" s="33"/>
      <c r="BNX128" s="33"/>
      <c r="BOH128" s="33"/>
      <c r="BOR128" s="33"/>
      <c r="BPB128" s="33"/>
      <c r="BPL128" s="33"/>
      <c r="BPV128" s="33"/>
      <c r="BQF128" s="33"/>
      <c r="BQP128" s="33"/>
      <c r="BQZ128" s="33"/>
      <c r="BRJ128" s="33"/>
      <c r="BRT128" s="33"/>
      <c r="BSD128" s="33"/>
      <c r="BSN128" s="33"/>
      <c r="BSX128" s="33"/>
      <c r="BTH128" s="33"/>
      <c r="BTR128" s="33"/>
      <c r="BUB128" s="33"/>
      <c r="BUL128" s="33"/>
      <c r="BUV128" s="33"/>
      <c r="BVF128" s="33"/>
      <c r="BVP128" s="33"/>
      <c r="BVZ128" s="33"/>
      <c r="BWJ128" s="33"/>
      <c r="BWT128" s="33"/>
      <c r="BXD128" s="33"/>
      <c r="BXN128" s="33"/>
      <c r="BXX128" s="33"/>
      <c r="BYH128" s="33"/>
      <c r="BYR128" s="33"/>
      <c r="BZB128" s="33"/>
      <c r="BZL128" s="33"/>
      <c r="BZV128" s="33"/>
      <c r="CAF128" s="33"/>
      <c r="CAP128" s="33"/>
      <c r="CAZ128" s="33"/>
      <c r="CBJ128" s="33"/>
      <c r="CBT128" s="33"/>
      <c r="CCD128" s="33"/>
      <c r="CCN128" s="33"/>
      <c r="CCX128" s="33"/>
      <c r="CDH128" s="33"/>
      <c r="CDR128" s="33"/>
      <c r="CEB128" s="33"/>
      <c r="CEL128" s="33"/>
      <c r="CEV128" s="33"/>
      <c r="CFF128" s="33"/>
      <c r="CFP128" s="33"/>
      <c r="CFZ128" s="33"/>
      <c r="CGJ128" s="33"/>
      <c r="CGT128" s="33"/>
      <c r="CHD128" s="33"/>
      <c r="CHN128" s="33"/>
      <c r="CHX128" s="33"/>
      <c r="CIH128" s="33"/>
      <c r="CIR128" s="33"/>
      <c r="CJB128" s="33"/>
      <c r="CJL128" s="33"/>
      <c r="CJV128" s="33"/>
      <c r="CKF128" s="33"/>
      <c r="CKP128" s="33"/>
      <c r="CKZ128" s="33"/>
      <c r="CLJ128" s="33"/>
      <c r="CLT128" s="33"/>
      <c r="CMD128" s="33"/>
      <c r="CMN128" s="33"/>
      <c r="CMX128" s="33"/>
      <c r="CNH128" s="33"/>
      <c r="CNR128" s="33"/>
      <c r="COB128" s="33"/>
      <c r="COL128" s="33"/>
      <c r="COV128" s="33"/>
      <c r="CPF128" s="33"/>
      <c r="CPP128" s="33"/>
      <c r="CPZ128" s="33"/>
      <c r="CQJ128" s="33"/>
      <c r="CQT128" s="33"/>
      <c r="CRD128" s="33"/>
      <c r="CRN128" s="33"/>
      <c r="CRX128" s="33"/>
      <c r="CSH128" s="33"/>
      <c r="CSR128" s="33"/>
      <c r="CTB128" s="33"/>
      <c r="CTL128" s="33"/>
      <c r="CTV128" s="33"/>
    </row>
    <row r="129" s="16" customFormat="1" customHeight="1" spans="1:1020 1030:2040 2050:2570">
      <c r="A129" s="57"/>
      <c r="B129" s="52"/>
      <c r="C129" s="52"/>
      <c r="D129" s="52"/>
      <c r="E129" s="52"/>
      <c r="F129" s="58" t="str">
        <f>IFERROR(VLOOKUP(E129,日报!E:G,2,0),"")</f>
        <v/>
      </c>
      <c r="G129" s="52"/>
      <c r="H129" s="53" t="str">
        <f>IFERROR(VLOOKUP(E129,基础数据!$E$4:$H$4,4,0),"")</f>
        <v/>
      </c>
      <c r="I129" s="53" t="str">
        <f>IFERROR(VLOOKUP(E129,基础数据!$E$4:$H$4,3,0),"")</f>
        <v/>
      </c>
      <c r="J129" s="52"/>
      <c r="K129" s="54" t="str">
        <f t="shared" si="2"/>
        <v/>
      </c>
      <c r="T129" s="33"/>
      <c r="AD129" s="33"/>
      <c r="AN129" s="33"/>
      <c r="AX129" s="33"/>
      <c r="BH129" s="33"/>
      <c r="BR129" s="33"/>
      <c r="CB129" s="33"/>
      <c r="CL129" s="33"/>
      <c r="CV129" s="33"/>
      <c r="DF129" s="33"/>
      <c r="DP129" s="33"/>
      <c r="DZ129" s="33"/>
      <c r="EJ129" s="33"/>
      <c r="ET129" s="33"/>
      <c r="FD129" s="33"/>
      <c r="FN129" s="33"/>
      <c r="FX129" s="33"/>
      <c r="GH129" s="33"/>
      <c r="GR129" s="33"/>
      <c r="HB129" s="33"/>
      <c r="HL129" s="33"/>
      <c r="HV129" s="33"/>
      <c r="IF129" s="33"/>
      <c r="IP129" s="33"/>
      <c r="IZ129" s="33"/>
      <c r="JJ129" s="33"/>
      <c r="JT129" s="33"/>
      <c r="KD129" s="33"/>
      <c r="KN129" s="33"/>
      <c r="KX129" s="33"/>
      <c r="LH129" s="33"/>
      <c r="LR129" s="33"/>
      <c r="MB129" s="33"/>
      <c r="ML129" s="33"/>
      <c r="MV129" s="33"/>
      <c r="NF129" s="33"/>
      <c r="NP129" s="33"/>
      <c r="NZ129" s="33"/>
      <c r="OJ129" s="33"/>
      <c r="OT129" s="33"/>
      <c r="PD129" s="33"/>
      <c r="PN129" s="33"/>
      <c r="PX129" s="33"/>
      <c r="QH129" s="33"/>
      <c r="QR129" s="33"/>
      <c r="RB129" s="33"/>
      <c r="RL129" s="33"/>
      <c r="RV129" s="33"/>
      <c r="SF129" s="33"/>
      <c r="SP129" s="33"/>
      <c r="SZ129" s="33"/>
      <c r="TJ129" s="33"/>
      <c r="TT129" s="33"/>
      <c r="UD129" s="33"/>
      <c r="UN129" s="33"/>
      <c r="UX129" s="33"/>
      <c r="VH129" s="33"/>
      <c r="VR129" s="33"/>
      <c r="WB129" s="33"/>
      <c r="WL129" s="33"/>
      <c r="WV129" s="33"/>
      <c r="XF129" s="33"/>
      <c r="XP129" s="33"/>
      <c r="XZ129" s="33"/>
      <c r="YJ129" s="33"/>
      <c r="YT129" s="33"/>
      <c r="ZD129" s="33"/>
      <c r="ZN129" s="33"/>
      <c r="ZX129" s="33"/>
      <c r="AAH129" s="33"/>
      <c r="AAR129" s="33"/>
      <c r="ABB129" s="33"/>
      <c r="ABL129" s="33"/>
      <c r="ABV129" s="33"/>
      <c r="ACF129" s="33"/>
      <c r="ACP129" s="33"/>
      <c r="ACZ129" s="33"/>
      <c r="ADJ129" s="33"/>
      <c r="ADT129" s="33"/>
      <c r="AED129" s="33"/>
      <c r="AEN129" s="33"/>
      <c r="AEX129" s="33"/>
      <c r="AFH129" s="33"/>
      <c r="AFR129" s="33"/>
      <c r="AGB129" s="33"/>
      <c r="AGL129" s="33"/>
      <c r="AGV129" s="33"/>
      <c r="AHF129" s="33"/>
      <c r="AHP129" s="33"/>
      <c r="AHZ129" s="33"/>
      <c r="AIJ129" s="33"/>
      <c r="AIT129" s="33"/>
      <c r="AJD129" s="33"/>
      <c r="AJN129" s="33"/>
      <c r="AJX129" s="33"/>
      <c r="AKH129" s="33"/>
      <c r="AKR129" s="33"/>
      <c r="ALB129" s="33"/>
      <c r="ALL129" s="33"/>
      <c r="ALV129" s="33"/>
      <c r="AMF129" s="33"/>
      <c r="AMP129" s="33"/>
      <c r="AMZ129" s="33"/>
      <c r="ANJ129" s="33"/>
      <c r="ANT129" s="33"/>
      <c r="AOD129" s="33"/>
      <c r="AON129" s="33"/>
      <c r="AOX129" s="33"/>
      <c r="APH129" s="33"/>
      <c r="APR129" s="33"/>
      <c r="AQB129" s="33"/>
      <c r="AQL129" s="33"/>
      <c r="AQV129" s="33"/>
      <c r="ARF129" s="33"/>
      <c r="ARP129" s="33"/>
      <c r="ARZ129" s="33"/>
      <c r="ASJ129" s="33"/>
      <c r="AST129" s="33"/>
      <c r="ATD129" s="33"/>
      <c r="ATN129" s="33"/>
      <c r="ATX129" s="33"/>
      <c r="AUH129" s="33"/>
      <c r="AUR129" s="33"/>
      <c r="AVB129" s="33"/>
      <c r="AVL129" s="33"/>
      <c r="AVV129" s="33"/>
      <c r="AWF129" s="33"/>
      <c r="AWP129" s="33"/>
      <c r="AWZ129" s="33"/>
      <c r="AXJ129" s="33"/>
      <c r="AXT129" s="33"/>
      <c r="AYD129" s="33"/>
      <c r="AYN129" s="33"/>
      <c r="AYX129" s="33"/>
      <c r="AZH129" s="33"/>
      <c r="AZR129" s="33"/>
      <c r="BAB129" s="33"/>
      <c r="BAL129" s="33"/>
      <c r="BAV129" s="33"/>
      <c r="BBF129" s="33"/>
      <c r="BBP129" s="33"/>
      <c r="BBZ129" s="33"/>
      <c r="BCJ129" s="33"/>
      <c r="BCT129" s="33"/>
      <c r="BDD129" s="33"/>
      <c r="BDN129" s="33"/>
      <c r="BDX129" s="33"/>
      <c r="BEH129" s="33"/>
      <c r="BER129" s="33"/>
      <c r="BFB129" s="33"/>
      <c r="BFL129" s="33"/>
      <c r="BFV129" s="33"/>
      <c r="BGF129" s="33"/>
      <c r="BGP129" s="33"/>
      <c r="BGZ129" s="33"/>
      <c r="BHJ129" s="33"/>
      <c r="BHT129" s="33"/>
      <c r="BID129" s="33"/>
      <c r="BIN129" s="33"/>
      <c r="BIX129" s="33"/>
      <c r="BJH129" s="33"/>
      <c r="BJR129" s="33"/>
      <c r="BKB129" s="33"/>
      <c r="BKL129" s="33"/>
      <c r="BKV129" s="33"/>
      <c r="BLF129" s="33"/>
      <c r="BLP129" s="33"/>
      <c r="BLZ129" s="33"/>
      <c r="BMJ129" s="33"/>
      <c r="BMT129" s="33"/>
      <c r="BND129" s="33"/>
      <c r="BNN129" s="33"/>
      <c r="BNX129" s="33"/>
      <c r="BOH129" s="33"/>
      <c r="BOR129" s="33"/>
      <c r="BPB129" s="33"/>
      <c r="BPL129" s="33"/>
      <c r="BPV129" s="33"/>
      <c r="BQF129" s="33"/>
      <c r="BQP129" s="33"/>
      <c r="BQZ129" s="33"/>
      <c r="BRJ129" s="33"/>
      <c r="BRT129" s="33"/>
      <c r="BSD129" s="33"/>
      <c r="BSN129" s="33"/>
      <c r="BSX129" s="33"/>
      <c r="BTH129" s="33"/>
      <c r="BTR129" s="33"/>
      <c r="BUB129" s="33"/>
      <c r="BUL129" s="33"/>
      <c r="BUV129" s="33"/>
      <c r="BVF129" s="33"/>
      <c r="BVP129" s="33"/>
      <c r="BVZ129" s="33"/>
      <c r="BWJ129" s="33"/>
      <c r="BWT129" s="33"/>
      <c r="BXD129" s="33"/>
      <c r="BXN129" s="33"/>
      <c r="BXX129" s="33"/>
      <c r="BYH129" s="33"/>
      <c r="BYR129" s="33"/>
      <c r="BZB129" s="33"/>
      <c r="BZL129" s="33"/>
      <c r="BZV129" s="33"/>
      <c r="CAF129" s="33"/>
      <c r="CAP129" s="33"/>
      <c r="CAZ129" s="33"/>
      <c r="CBJ129" s="33"/>
      <c r="CBT129" s="33"/>
      <c r="CCD129" s="33"/>
      <c r="CCN129" s="33"/>
      <c r="CCX129" s="33"/>
      <c r="CDH129" s="33"/>
      <c r="CDR129" s="33"/>
      <c r="CEB129" s="33"/>
      <c r="CEL129" s="33"/>
      <c r="CEV129" s="33"/>
      <c r="CFF129" s="33"/>
      <c r="CFP129" s="33"/>
      <c r="CFZ129" s="33"/>
      <c r="CGJ129" s="33"/>
      <c r="CGT129" s="33"/>
      <c r="CHD129" s="33"/>
      <c r="CHN129" s="33"/>
      <c r="CHX129" s="33"/>
      <c r="CIH129" s="33"/>
      <c r="CIR129" s="33"/>
      <c r="CJB129" s="33"/>
      <c r="CJL129" s="33"/>
      <c r="CJV129" s="33"/>
      <c r="CKF129" s="33"/>
      <c r="CKP129" s="33"/>
      <c r="CKZ129" s="33"/>
      <c r="CLJ129" s="33"/>
      <c r="CLT129" s="33"/>
      <c r="CMD129" s="33"/>
      <c r="CMN129" s="33"/>
      <c r="CMX129" s="33"/>
      <c r="CNH129" s="33"/>
      <c r="CNR129" s="33"/>
      <c r="COB129" s="33"/>
      <c r="COL129" s="33"/>
      <c r="COV129" s="33"/>
      <c r="CPF129" s="33"/>
      <c r="CPP129" s="33"/>
      <c r="CPZ129" s="33"/>
      <c r="CQJ129" s="33"/>
      <c r="CQT129" s="33"/>
      <c r="CRD129" s="33"/>
      <c r="CRN129" s="33"/>
      <c r="CRX129" s="33"/>
      <c r="CSH129" s="33"/>
      <c r="CSR129" s="33"/>
      <c r="CTB129" s="33"/>
      <c r="CTL129" s="33"/>
      <c r="CTV129" s="33"/>
    </row>
    <row r="130" s="16" customFormat="1" customHeight="1" spans="1:1020 1030:2040 2050:2570">
      <c r="A130" s="57"/>
      <c r="B130" s="52"/>
      <c r="C130" s="52"/>
      <c r="D130" s="52"/>
      <c r="E130" s="52"/>
      <c r="F130" s="58" t="str">
        <f>IFERROR(VLOOKUP(E130,日报!E:G,2,0),"")</f>
        <v/>
      </c>
      <c r="G130" s="52"/>
      <c r="H130" s="53" t="str">
        <f>IFERROR(VLOOKUP(E130,基础数据!$E$4:$H$4,4,0),"")</f>
        <v/>
      </c>
      <c r="I130" s="53" t="str">
        <f>IFERROR(VLOOKUP(E130,基础数据!$E$4:$H$4,3,0),"")</f>
        <v/>
      </c>
      <c r="J130" s="52"/>
      <c r="K130" s="54" t="str">
        <f t="shared" si="2"/>
        <v/>
      </c>
      <c r="T130" s="33"/>
      <c r="AD130" s="33"/>
      <c r="AN130" s="33"/>
      <c r="AX130" s="33"/>
      <c r="BH130" s="33"/>
      <c r="BR130" s="33"/>
      <c r="CB130" s="33"/>
      <c r="CL130" s="33"/>
      <c r="CV130" s="33"/>
      <c r="DF130" s="33"/>
      <c r="DP130" s="33"/>
      <c r="DZ130" s="33"/>
      <c r="EJ130" s="33"/>
      <c r="ET130" s="33"/>
      <c r="FD130" s="33"/>
      <c r="FN130" s="33"/>
      <c r="FX130" s="33"/>
      <c r="GH130" s="33"/>
      <c r="GR130" s="33"/>
      <c r="HB130" s="33"/>
      <c r="HL130" s="33"/>
      <c r="HV130" s="33"/>
      <c r="IF130" s="33"/>
      <c r="IP130" s="33"/>
      <c r="IZ130" s="33"/>
      <c r="JJ130" s="33"/>
      <c r="JT130" s="33"/>
      <c r="KD130" s="33"/>
      <c r="KN130" s="33"/>
      <c r="KX130" s="33"/>
      <c r="LH130" s="33"/>
      <c r="LR130" s="33"/>
      <c r="MB130" s="33"/>
      <c r="ML130" s="33"/>
      <c r="MV130" s="33"/>
      <c r="NF130" s="33"/>
      <c r="NP130" s="33"/>
      <c r="NZ130" s="33"/>
      <c r="OJ130" s="33"/>
      <c r="OT130" s="33"/>
      <c r="PD130" s="33"/>
      <c r="PN130" s="33"/>
      <c r="PX130" s="33"/>
      <c r="QH130" s="33"/>
      <c r="QR130" s="33"/>
      <c r="RB130" s="33"/>
      <c r="RL130" s="33"/>
      <c r="RV130" s="33"/>
      <c r="SF130" s="33"/>
      <c r="SP130" s="33"/>
      <c r="SZ130" s="33"/>
      <c r="TJ130" s="33"/>
      <c r="TT130" s="33"/>
      <c r="UD130" s="33"/>
      <c r="UN130" s="33"/>
      <c r="UX130" s="33"/>
      <c r="VH130" s="33"/>
      <c r="VR130" s="33"/>
      <c r="WB130" s="33"/>
      <c r="WL130" s="33"/>
      <c r="WV130" s="33"/>
      <c r="XF130" s="33"/>
      <c r="XP130" s="33"/>
      <c r="XZ130" s="33"/>
      <c r="YJ130" s="33"/>
      <c r="YT130" s="33"/>
      <c r="ZD130" s="33"/>
      <c r="ZN130" s="33"/>
      <c r="ZX130" s="33"/>
      <c r="AAH130" s="33"/>
      <c r="AAR130" s="33"/>
      <c r="ABB130" s="33"/>
      <c r="ABL130" s="33"/>
      <c r="ABV130" s="33"/>
      <c r="ACF130" s="33"/>
      <c r="ACP130" s="33"/>
      <c r="ACZ130" s="33"/>
      <c r="ADJ130" s="33"/>
      <c r="ADT130" s="33"/>
      <c r="AED130" s="33"/>
      <c r="AEN130" s="33"/>
      <c r="AEX130" s="33"/>
      <c r="AFH130" s="33"/>
      <c r="AFR130" s="33"/>
      <c r="AGB130" s="33"/>
      <c r="AGL130" s="33"/>
      <c r="AGV130" s="33"/>
      <c r="AHF130" s="33"/>
      <c r="AHP130" s="33"/>
      <c r="AHZ130" s="33"/>
      <c r="AIJ130" s="33"/>
      <c r="AIT130" s="33"/>
      <c r="AJD130" s="33"/>
      <c r="AJN130" s="33"/>
      <c r="AJX130" s="33"/>
      <c r="AKH130" s="33"/>
      <c r="AKR130" s="33"/>
      <c r="ALB130" s="33"/>
      <c r="ALL130" s="33"/>
      <c r="ALV130" s="33"/>
      <c r="AMF130" s="33"/>
      <c r="AMP130" s="33"/>
      <c r="AMZ130" s="33"/>
      <c r="ANJ130" s="33"/>
      <c r="ANT130" s="33"/>
      <c r="AOD130" s="33"/>
      <c r="AON130" s="33"/>
      <c r="AOX130" s="33"/>
      <c r="APH130" s="33"/>
      <c r="APR130" s="33"/>
      <c r="AQB130" s="33"/>
      <c r="AQL130" s="33"/>
      <c r="AQV130" s="33"/>
      <c r="ARF130" s="33"/>
      <c r="ARP130" s="33"/>
      <c r="ARZ130" s="33"/>
      <c r="ASJ130" s="33"/>
      <c r="AST130" s="33"/>
      <c r="ATD130" s="33"/>
      <c r="ATN130" s="33"/>
      <c r="ATX130" s="33"/>
      <c r="AUH130" s="33"/>
      <c r="AUR130" s="33"/>
      <c r="AVB130" s="33"/>
      <c r="AVL130" s="33"/>
      <c r="AVV130" s="33"/>
      <c r="AWF130" s="33"/>
      <c r="AWP130" s="33"/>
      <c r="AWZ130" s="33"/>
      <c r="AXJ130" s="33"/>
      <c r="AXT130" s="33"/>
      <c r="AYD130" s="33"/>
      <c r="AYN130" s="33"/>
      <c r="AYX130" s="33"/>
      <c r="AZH130" s="33"/>
      <c r="AZR130" s="33"/>
      <c r="BAB130" s="33"/>
      <c r="BAL130" s="33"/>
      <c r="BAV130" s="33"/>
      <c r="BBF130" s="33"/>
      <c r="BBP130" s="33"/>
      <c r="BBZ130" s="33"/>
      <c r="BCJ130" s="33"/>
      <c r="BCT130" s="33"/>
      <c r="BDD130" s="33"/>
      <c r="BDN130" s="33"/>
      <c r="BDX130" s="33"/>
      <c r="BEH130" s="33"/>
      <c r="BER130" s="33"/>
      <c r="BFB130" s="33"/>
      <c r="BFL130" s="33"/>
      <c r="BFV130" s="33"/>
      <c r="BGF130" s="33"/>
      <c r="BGP130" s="33"/>
      <c r="BGZ130" s="33"/>
      <c r="BHJ130" s="33"/>
      <c r="BHT130" s="33"/>
      <c r="BID130" s="33"/>
      <c r="BIN130" s="33"/>
      <c r="BIX130" s="33"/>
      <c r="BJH130" s="33"/>
      <c r="BJR130" s="33"/>
      <c r="BKB130" s="33"/>
      <c r="BKL130" s="33"/>
      <c r="BKV130" s="33"/>
      <c r="BLF130" s="33"/>
      <c r="BLP130" s="33"/>
      <c r="BLZ130" s="33"/>
      <c r="BMJ130" s="33"/>
      <c r="BMT130" s="33"/>
      <c r="BND130" s="33"/>
      <c r="BNN130" s="33"/>
      <c r="BNX130" s="33"/>
      <c r="BOH130" s="33"/>
      <c r="BOR130" s="33"/>
      <c r="BPB130" s="33"/>
      <c r="BPL130" s="33"/>
      <c r="BPV130" s="33"/>
      <c r="BQF130" s="33"/>
      <c r="BQP130" s="33"/>
      <c r="BQZ130" s="33"/>
      <c r="BRJ130" s="33"/>
      <c r="BRT130" s="33"/>
      <c r="BSD130" s="33"/>
      <c r="BSN130" s="33"/>
      <c r="BSX130" s="33"/>
      <c r="BTH130" s="33"/>
      <c r="BTR130" s="33"/>
      <c r="BUB130" s="33"/>
      <c r="BUL130" s="33"/>
      <c r="BUV130" s="33"/>
      <c r="BVF130" s="33"/>
      <c r="BVP130" s="33"/>
      <c r="BVZ130" s="33"/>
      <c r="BWJ130" s="33"/>
      <c r="BWT130" s="33"/>
      <c r="BXD130" s="33"/>
      <c r="BXN130" s="33"/>
      <c r="BXX130" s="33"/>
      <c r="BYH130" s="33"/>
      <c r="BYR130" s="33"/>
      <c r="BZB130" s="33"/>
      <c r="BZL130" s="33"/>
      <c r="BZV130" s="33"/>
      <c r="CAF130" s="33"/>
      <c r="CAP130" s="33"/>
      <c r="CAZ130" s="33"/>
      <c r="CBJ130" s="33"/>
      <c r="CBT130" s="33"/>
      <c r="CCD130" s="33"/>
      <c r="CCN130" s="33"/>
      <c r="CCX130" s="33"/>
      <c r="CDH130" s="33"/>
      <c r="CDR130" s="33"/>
      <c r="CEB130" s="33"/>
      <c r="CEL130" s="33"/>
      <c r="CEV130" s="33"/>
      <c r="CFF130" s="33"/>
      <c r="CFP130" s="33"/>
      <c r="CFZ130" s="33"/>
      <c r="CGJ130" s="33"/>
      <c r="CGT130" s="33"/>
      <c r="CHD130" s="33"/>
      <c r="CHN130" s="33"/>
      <c r="CHX130" s="33"/>
      <c r="CIH130" s="33"/>
      <c r="CIR130" s="33"/>
      <c r="CJB130" s="33"/>
      <c r="CJL130" s="33"/>
      <c r="CJV130" s="33"/>
      <c r="CKF130" s="33"/>
      <c r="CKP130" s="33"/>
      <c r="CKZ130" s="33"/>
      <c r="CLJ130" s="33"/>
      <c r="CLT130" s="33"/>
      <c r="CMD130" s="33"/>
      <c r="CMN130" s="33"/>
      <c r="CMX130" s="33"/>
      <c r="CNH130" s="33"/>
      <c r="CNR130" s="33"/>
      <c r="COB130" s="33"/>
      <c r="COL130" s="33"/>
      <c r="COV130" s="33"/>
      <c r="CPF130" s="33"/>
      <c r="CPP130" s="33"/>
      <c r="CPZ130" s="33"/>
      <c r="CQJ130" s="33"/>
      <c r="CQT130" s="33"/>
      <c r="CRD130" s="33"/>
      <c r="CRN130" s="33"/>
      <c r="CRX130" s="33"/>
      <c r="CSH130" s="33"/>
      <c r="CSR130" s="33"/>
      <c r="CTB130" s="33"/>
      <c r="CTL130" s="33"/>
      <c r="CTV130" s="33"/>
    </row>
    <row r="131" s="16" customFormat="1" customHeight="1" spans="1:1020 1030:2040 2050:2570">
      <c r="A131" s="57"/>
      <c r="B131" s="52"/>
      <c r="C131" s="52"/>
      <c r="D131" s="52"/>
      <c r="E131" s="52"/>
      <c r="F131" s="58" t="str">
        <f>IFERROR(VLOOKUP(E131,日报!E:G,2,0),"")</f>
        <v/>
      </c>
      <c r="G131" s="52"/>
      <c r="H131" s="53" t="str">
        <f>IFERROR(VLOOKUP(E131,基础数据!$E$4:$H$4,4,0),"")</f>
        <v/>
      </c>
      <c r="I131" s="53" t="str">
        <f>IFERROR(VLOOKUP(E131,基础数据!$E$4:$H$4,3,0),"")</f>
        <v/>
      </c>
      <c r="J131" s="52"/>
      <c r="K131" s="54" t="str">
        <f t="shared" si="2"/>
        <v/>
      </c>
      <c r="T131" s="33"/>
      <c r="AD131" s="33"/>
      <c r="AN131" s="33"/>
      <c r="AX131" s="33"/>
      <c r="BH131" s="33"/>
      <c r="BR131" s="33"/>
      <c r="CB131" s="33"/>
      <c r="CL131" s="33"/>
      <c r="CV131" s="33"/>
      <c r="DF131" s="33"/>
      <c r="DP131" s="33"/>
      <c r="DZ131" s="33"/>
      <c r="EJ131" s="33"/>
      <c r="ET131" s="33"/>
      <c r="FD131" s="33"/>
      <c r="FN131" s="33"/>
      <c r="FX131" s="33"/>
      <c r="GH131" s="33"/>
      <c r="GR131" s="33"/>
      <c r="HB131" s="33"/>
      <c r="HL131" s="33"/>
      <c r="HV131" s="33"/>
      <c r="IF131" s="33"/>
      <c r="IP131" s="33"/>
      <c r="IZ131" s="33"/>
      <c r="JJ131" s="33"/>
      <c r="JT131" s="33"/>
      <c r="KD131" s="33"/>
      <c r="KN131" s="33"/>
      <c r="KX131" s="33"/>
      <c r="LH131" s="33"/>
      <c r="LR131" s="33"/>
      <c r="MB131" s="33"/>
      <c r="ML131" s="33"/>
      <c r="MV131" s="33"/>
      <c r="NF131" s="33"/>
      <c r="NP131" s="33"/>
      <c r="NZ131" s="33"/>
      <c r="OJ131" s="33"/>
      <c r="OT131" s="33"/>
      <c r="PD131" s="33"/>
      <c r="PN131" s="33"/>
      <c r="PX131" s="33"/>
      <c r="QH131" s="33"/>
      <c r="QR131" s="33"/>
      <c r="RB131" s="33"/>
      <c r="RL131" s="33"/>
      <c r="RV131" s="33"/>
      <c r="SF131" s="33"/>
      <c r="SP131" s="33"/>
      <c r="SZ131" s="33"/>
      <c r="TJ131" s="33"/>
      <c r="TT131" s="33"/>
      <c r="UD131" s="33"/>
      <c r="UN131" s="33"/>
      <c r="UX131" s="33"/>
      <c r="VH131" s="33"/>
      <c r="VR131" s="33"/>
      <c r="WB131" s="33"/>
      <c r="WL131" s="33"/>
      <c r="WV131" s="33"/>
      <c r="XF131" s="33"/>
      <c r="XP131" s="33"/>
      <c r="XZ131" s="33"/>
      <c r="YJ131" s="33"/>
      <c r="YT131" s="33"/>
      <c r="ZD131" s="33"/>
      <c r="ZN131" s="33"/>
      <c r="ZX131" s="33"/>
      <c r="AAH131" s="33"/>
      <c r="AAR131" s="33"/>
      <c r="ABB131" s="33"/>
      <c r="ABL131" s="33"/>
      <c r="ABV131" s="33"/>
      <c r="ACF131" s="33"/>
      <c r="ACP131" s="33"/>
      <c r="ACZ131" s="33"/>
      <c r="ADJ131" s="33"/>
      <c r="ADT131" s="33"/>
      <c r="AED131" s="33"/>
      <c r="AEN131" s="33"/>
      <c r="AEX131" s="33"/>
      <c r="AFH131" s="33"/>
      <c r="AFR131" s="33"/>
      <c r="AGB131" s="33"/>
      <c r="AGL131" s="33"/>
      <c r="AGV131" s="33"/>
      <c r="AHF131" s="33"/>
      <c r="AHP131" s="33"/>
      <c r="AHZ131" s="33"/>
      <c r="AIJ131" s="33"/>
      <c r="AIT131" s="33"/>
      <c r="AJD131" s="33"/>
      <c r="AJN131" s="33"/>
      <c r="AJX131" s="33"/>
      <c r="AKH131" s="33"/>
      <c r="AKR131" s="33"/>
      <c r="ALB131" s="33"/>
      <c r="ALL131" s="33"/>
      <c r="ALV131" s="33"/>
      <c r="AMF131" s="33"/>
      <c r="AMP131" s="33"/>
      <c r="AMZ131" s="33"/>
      <c r="ANJ131" s="33"/>
      <c r="ANT131" s="33"/>
      <c r="AOD131" s="33"/>
      <c r="AON131" s="33"/>
      <c r="AOX131" s="33"/>
      <c r="APH131" s="33"/>
      <c r="APR131" s="33"/>
      <c r="AQB131" s="33"/>
      <c r="AQL131" s="33"/>
      <c r="AQV131" s="33"/>
      <c r="ARF131" s="33"/>
      <c r="ARP131" s="33"/>
      <c r="ARZ131" s="33"/>
      <c r="ASJ131" s="33"/>
      <c r="AST131" s="33"/>
      <c r="ATD131" s="33"/>
      <c r="ATN131" s="33"/>
      <c r="ATX131" s="33"/>
      <c r="AUH131" s="33"/>
      <c r="AUR131" s="33"/>
      <c r="AVB131" s="33"/>
      <c r="AVL131" s="33"/>
      <c r="AVV131" s="33"/>
      <c r="AWF131" s="33"/>
      <c r="AWP131" s="33"/>
      <c r="AWZ131" s="33"/>
      <c r="AXJ131" s="33"/>
      <c r="AXT131" s="33"/>
      <c r="AYD131" s="33"/>
      <c r="AYN131" s="33"/>
      <c r="AYX131" s="33"/>
      <c r="AZH131" s="33"/>
      <c r="AZR131" s="33"/>
      <c r="BAB131" s="33"/>
      <c r="BAL131" s="33"/>
      <c r="BAV131" s="33"/>
      <c r="BBF131" s="33"/>
      <c r="BBP131" s="33"/>
      <c r="BBZ131" s="33"/>
      <c r="BCJ131" s="33"/>
      <c r="BCT131" s="33"/>
      <c r="BDD131" s="33"/>
      <c r="BDN131" s="33"/>
      <c r="BDX131" s="33"/>
      <c r="BEH131" s="33"/>
      <c r="BER131" s="33"/>
      <c r="BFB131" s="33"/>
      <c r="BFL131" s="33"/>
      <c r="BFV131" s="33"/>
      <c r="BGF131" s="33"/>
      <c r="BGP131" s="33"/>
      <c r="BGZ131" s="33"/>
      <c r="BHJ131" s="33"/>
      <c r="BHT131" s="33"/>
      <c r="BID131" s="33"/>
      <c r="BIN131" s="33"/>
      <c r="BIX131" s="33"/>
      <c r="BJH131" s="33"/>
      <c r="BJR131" s="33"/>
      <c r="BKB131" s="33"/>
      <c r="BKL131" s="33"/>
      <c r="BKV131" s="33"/>
      <c r="BLF131" s="33"/>
      <c r="BLP131" s="33"/>
      <c r="BLZ131" s="33"/>
      <c r="BMJ131" s="33"/>
      <c r="BMT131" s="33"/>
      <c r="BND131" s="33"/>
      <c r="BNN131" s="33"/>
      <c r="BNX131" s="33"/>
      <c r="BOH131" s="33"/>
      <c r="BOR131" s="33"/>
      <c r="BPB131" s="33"/>
      <c r="BPL131" s="33"/>
      <c r="BPV131" s="33"/>
      <c r="BQF131" s="33"/>
      <c r="BQP131" s="33"/>
      <c r="BQZ131" s="33"/>
      <c r="BRJ131" s="33"/>
      <c r="BRT131" s="33"/>
      <c r="BSD131" s="33"/>
      <c r="BSN131" s="33"/>
      <c r="BSX131" s="33"/>
      <c r="BTH131" s="33"/>
      <c r="BTR131" s="33"/>
      <c r="BUB131" s="33"/>
      <c r="BUL131" s="33"/>
      <c r="BUV131" s="33"/>
      <c r="BVF131" s="33"/>
      <c r="BVP131" s="33"/>
      <c r="BVZ131" s="33"/>
      <c r="BWJ131" s="33"/>
      <c r="BWT131" s="33"/>
      <c r="BXD131" s="33"/>
      <c r="BXN131" s="33"/>
      <c r="BXX131" s="33"/>
      <c r="BYH131" s="33"/>
      <c r="BYR131" s="33"/>
      <c r="BZB131" s="33"/>
      <c r="BZL131" s="33"/>
      <c r="BZV131" s="33"/>
      <c r="CAF131" s="33"/>
      <c r="CAP131" s="33"/>
      <c r="CAZ131" s="33"/>
      <c r="CBJ131" s="33"/>
      <c r="CBT131" s="33"/>
      <c r="CCD131" s="33"/>
      <c r="CCN131" s="33"/>
      <c r="CCX131" s="33"/>
      <c r="CDH131" s="33"/>
      <c r="CDR131" s="33"/>
      <c r="CEB131" s="33"/>
      <c r="CEL131" s="33"/>
      <c r="CEV131" s="33"/>
      <c r="CFF131" s="33"/>
      <c r="CFP131" s="33"/>
      <c r="CFZ131" s="33"/>
      <c r="CGJ131" s="33"/>
      <c r="CGT131" s="33"/>
      <c r="CHD131" s="33"/>
      <c r="CHN131" s="33"/>
      <c r="CHX131" s="33"/>
      <c r="CIH131" s="33"/>
      <c r="CIR131" s="33"/>
      <c r="CJB131" s="33"/>
      <c r="CJL131" s="33"/>
      <c r="CJV131" s="33"/>
      <c r="CKF131" s="33"/>
      <c r="CKP131" s="33"/>
      <c r="CKZ131" s="33"/>
      <c r="CLJ131" s="33"/>
      <c r="CLT131" s="33"/>
      <c r="CMD131" s="33"/>
      <c r="CMN131" s="33"/>
      <c r="CMX131" s="33"/>
      <c r="CNH131" s="33"/>
      <c r="CNR131" s="33"/>
      <c r="COB131" s="33"/>
      <c r="COL131" s="33"/>
      <c r="COV131" s="33"/>
      <c r="CPF131" s="33"/>
      <c r="CPP131" s="33"/>
      <c r="CPZ131" s="33"/>
      <c r="CQJ131" s="33"/>
      <c r="CQT131" s="33"/>
      <c r="CRD131" s="33"/>
      <c r="CRN131" s="33"/>
      <c r="CRX131" s="33"/>
      <c r="CSH131" s="33"/>
      <c r="CSR131" s="33"/>
      <c r="CTB131" s="33"/>
      <c r="CTL131" s="33"/>
      <c r="CTV131" s="33"/>
    </row>
    <row r="132" s="16" customFormat="1" customHeight="1" spans="1:1020 1030:2040 2050:2570">
      <c r="A132" s="57"/>
      <c r="B132" s="52"/>
      <c r="C132" s="52"/>
      <c r="D132" s="52"/>
      <c r="E132" s="52"/>
      <c r="F132" s="58" t="str">
        <f>IFERROR(VLOOKUP(E132,日报!E:G,2,0),"")</f>
        <v/>
      </c>
      <c r="G132" s="52"/>
      <c r="H132" s="53" t="str">
        <f>IFERROR(VLOOKUP(E132,基础数据!$E$4:$H$4,4,0),"")</f>
        <v/>
      </c>
      <c r="I132" s="53" t="str">
        <f>IFERROR(VLOOKUP(E132,基础数据!$E$4:$H$4,3,0),"")</f>
        <v/>
      </c>
      <c r="J132" s="52"/>
      <c r="K132" s="54" t="str">
        <f t="shared" si="2"/>
        <v/>
      </c>
      <c r="T132" s="33"/>
      <c r="AD132" s="33"/>
      <c r="AN132" s="33"/>
      <c r="AX132" s="33"/>
      <c r="BH132" s="33"/>
      <c r="BR132" s="33"/>
      <c r="CB132" s="33"/>
      <c r="CL132" s="33"/>
      <c r="CV132" s="33"/>
      <c r="DF132" s="33"/>
      <c r="DP132" s="33"/>
      <c r="DZ132" s="33"/>
      <c r="EJ132" s="33"/>
      <c r="ET132" s="33"/>
      <c r="FD132" s="33"/>
      <c r="FN132" s="33"/>
      <c r="FX132" s="33"/>
      <c r="GH132" s="33"/>
      <c r="GR132" s="33"/>
      <c r="HB132" s="33"/>
      <c r="HL132" s="33"/>
      <c r="HV132" s="33"/>
      <c r="IF132" s="33"/>
      <c r="IP132" s="33"/>
      <c r="IZ132" s="33"/>
      <c r="JJ132" s="33"/>
      <c r="JT132" s="33"/>
      <c r="KD132" s="33"/>
      <c r="KN132" s="33"/>
      <c r="KX132" s="33"/>
      <c r="LH132" s="33"/>
      <c r="LR132" s="33"/>
      <c r="MB132" s="33"/>
      <c r="ML132" s="33"/>
      <c r="MV132" s="33"/>
      <c r="NF132" s="33"/>
      <c r="NP132" s="33"/>
      <c r="NZ132" s="33"/>
      <c r="OJ132" s="33"/>
      <c r="OT132" s="33"/>
      <c r="PD132" s="33"/>
      <c r="PN132" s="33"/>
      <c r="PX132" s="33"/>
      <c r="QH132" s="33"/>
      <c r="QR132" s="33"/>
      <c r="RB132" s="33"/>
      <c r="RL132" s="33"/>
      <c r="RV132" s="33"/>
      <c r="SF132" s="33"/>
      <c r="SP132" s="33"/>
      <c r="SZ132" s="33"/>
      <c r="TJ132" s="33"/>
      <c r="TT132" s="33"/>
      <c r="UD132" s="33"/>
      <c r="UN132" s="33"/>
      <c r="UX132" s="33"/>
      <c r="VH132" s="33"/>
      <c r="VR132" s="33"/>
      <c r="WB132" s="33"/>
      <c r="WL132" s="33"/>
      <c r="WV132" s="33"/>
      <c r="XF132" s="33"/>
      <c r="XP132" s="33"/>
      <c r="XZ132" s="33"/>
      <c r="YJ132" s="33"/>
      <c r="YT132" s="33"/>
      <c r="ZD132" s="33"/>
      <c r="ZN132" s="33"/>
      <c r="ZX132" s="33"/>
      <c r="AAH132" s="33"/>
      <c r="AAR132" s="33"/>
      <c r="ABB132" s="33"/>
      <c r="ABL132" s="33"/>
      <c r="ABV132" s="33"/>
      <c r="ACF132" s="33"/>
      <c r="ACP132" s="33"/>
      <c r="ACZ132" s="33"/>
      <c r="ADJ132" s="33"/>
      <c r="ADT132" s="33"/>
      <c r="AED132" s="33"/>
      <c r="AEN132" s="33"/>
      <c r="AEX132" s="33"/>
      <c r="AFH132" s="33"/>
      <c r="AFR132" s="33"/>
      <c r="AGB132" s="33"/>
      <c r="AGL132" s="33"/>
      <c r="AGV132" s="33"/>
      <c r="AHF132" s="33"/>
      <c r="AHP132" s="33"/>
      <c r="AHZ132" s="33"/>
      <c r="AIJ132" s="33"/>
      <c r="AIT132" s="33"/>
      <c r="AJD132" s="33"/>
      <c r="AJN132" s="33"/>
      <c r="AJX132" s="33"/>
      <c r="AKH132" s="33"/>
      <c r="AKR132" s="33"/>
      <c r="ALB132" s="33"/>
      <c r="ALL132" s="33"/>
      <c r="ALV132" s="33"/>
      <c r="AMF132" s="33"/>
      <c r="AMP132" s="33"/>
      <c r="AMZ132" s="33"/>
      <c r="ANJ132" s="33"/>
      <c r="ANT132" s="33"/>
      <c r="AOD132" s="33"/>
      <c r="AON132" s="33"/>
      <c r="AOX132" s="33"/>
      <c r="APH132" s="33"/>
      <c r="APR132" s="33"/>
      <c r="AQB132" s="33"/>
      <c r="AQL132" s="33"/>
      <c r="AQV132" s="33"/>
      <c r="ARF132" s="33"/>
      <c r="ARP132" s="33"/>
      <c r="ARZ132" s="33"/>
      <c r="ASJ132" s="33"/>
      <c r="AST132" s="33"/>
      <c r="ATD132" s="33"/>
      <c r="ATN132" s="33"/>
      <c r="ATX132" s="33"/>
      <c r="AUH132" s="33"/>
      <c r="AUR132" s="33"/>
      <c r="AVB132" s="33"/>
      <c r="AVL132" s="33"/>
      <c r="AVV132" s="33"/>
      <c r="AWF132" s="33"/>
      <c r="AWP132" s="33"/>
      <c r="AWZ132" s="33"/>
      <c r="AXJ132" s="33"/>
      <c r="AXT132" s="33"/>
      <c r="AYD132" s="33"/>
      <c r="AYN132" s="33"/>
      <c r="AYX132" s="33"/>
      <c r="AZH132" s="33"/>
      <c r="AZR132" s="33"/>
      <c r="BAB132" s="33"/>
      <c r="BAL132" s="33"/>
      <c r="BAV132" s="33"/>
      <c r="BBF132" s="33"/>
      <c r="BBP132" s="33"/>
      <c r="BBZ132" s="33"/>
      <c r="BCJ132" s="33"/>
      <c r="BCT132" s="33"/>
      <c r="BDD132" s="33"/>
      <c r="BDN132" s="33"/>
      <c r="BDX132" s="33"/>
      <c r="BEH132" s="33"/>
      <c r="BER132" s="33"/>
      <c r="BFB132" s="33"/>
      <c r="BFL132" s="33"/>
      <c r="BFV132" s="33"/>
      <c r="BGF132" s="33"/>
      <c r="BGP132" s="33"/>
      <c r="BGZ132" s="33"/>
      <c r="BHJ132" s="33"/>
      <c r="BHT132" s="33"/>
      <c r="BID132" s="33"/>
      <c r="BIN132" s="33"/>
      <c r="BIX132" s="33"/>
      <c r="BJH132" s="33"/>
      <c r="BJR132" s="33"/>
      <c r="BKB132" s="33"/>
      <c r="BKL132" s="33"/>
      <c r="BKV132" s="33"/>
      <c r="BLF132" s="33"/>
      <c r="BLP132" s="33"/>
      <c r="BLZ132" s="33"/>
      <c r="BMJ132" s="33"/>
      <c r="BMT132" s="33"/>
      <c r="BND132" s="33"/>
      <c r="BNN132" s="33"/>
      <c r="BNX132" s="33"/>
      <c r="BOH132" s="33"/>
      <c r="BOR132" s="33"/>
      <c r="BPB132" s="33"/>
      <c r="BPL132" s="33"/>
      <c r="BPV132" s="33"/>
      <c r="BQF132" s="33"/>
      <c r="BQP132" s="33"/>
      <c r="BQZ132" s="33"/>
      <c r="BRJ132" s="33"/>
      <c r="BRT132" s="33"/>
      <c r="BSD132" s="33"/>
      <c r="BSN132" s="33"/>
      <c r="BSX132" s="33"/>
      <c r="BTH132" s="33"/>
      <c r="BTR132" s="33"/>
      <c r="BUB132" s="33"/>
      <c r="BUL132" s="33"/>
      <c r="BUV132" s="33"/>
      <c r="BVF132" s="33"/>
      <c r="BVP132" s="33"/>
      <c r="BVZ132" s="33"/>
      <c r="BWJ132" s="33"/>
      <c r="BWT132" s="33"/>
      <c r="BXD132" s="33"/>
      <c r="BXN132" s="33"/>
      <c r="BXX132" s="33"/>
      <c r="BYH132" s="33"/>
      <c r="BYR132" s="33"/>
      <c r="BZB132" s="33"/>
      <c r="BZL132" s="33"/>
      <c r="BZV132" s="33"/>
      <c r="CAF132" s="33"/>
      <c r="CAP132" s="33"/>
      <c r="CAZ132" s="33"/>
      <c r="CBJ132" s="33"/>
      <c r="CBT132" s="33"/>
      <c r="CCD132" s="33"/>
      <c r="CCN132" s="33"/>
      <c r="CCX132" s="33"/>
      <c r="CDH132" s="33"/>
      <c r="CDR132" s="33"/>
      <c r="CEB132" s="33"/>
      <c r="CEL132" s="33"/>
      <c r="CEV132" s="33"/>
      <c r="CFF132" s="33"/>
      <c r="CFP132" s="33"/>
      <c r="CFZ132" s="33"/>
      <c r="CGJ132" s="33"/>
      <c r="CGT132" s="33"/>
      <c r="CHD132" s="33"/>
      <c r="CHN132" s="33"/>
      <c r="CHX132" s="33"/>
      <c r="CIH132" s="33"/>
      <c r="CIR132" s="33"/>
      <c r="CJB132" s="33"/>
      <c r="CJL132" s="33"/>
      <c r="CJV132" s="33"/>
      <c r="CKF132" s="33"/>
      <c r="CKP132" s="33"/>
      <c r="CKZ132" s="33"/>
      <c r="CLJ132" s="33"/>
      <c r="CLT132" s="33"/>
      <c r="CMD132" s="33"/>
      <c r="CMN132" s="33"/>
      <c r="CMX132" s="33"/>
      <c r="CNH132" s="33"/>
      <c r="CNR132" s="33"/>
      <c r="COB132" s="33"/>
      <c r="COL132" s="33"/>
      <c r="COV132" s="33"/>
      <c r="CPF132" s="33"/>
      <c r="CPP132" s="33"/>
      <c r="CPZ132" s="33"/>
      <c r="CQJ132" s="33"/>
      <c r="CQT132" s="33"/>
      <c r="CRD132" s="33"/>
      <c r="CRN132" s="33"/>
      <c r="CRX132" s="33"/>
      <c r="CSH132" s="33"/>
      <c r="CSR132" s="33"/>
      <c r="CTB132" s="33"/>
      <c r="CTL132" s="33"/>
      <c r="CTV132" s="33"/>
    </row>
    <row r="133" s="16" customFormat="1" customHeight="1" spans="1:1020 1030:2040 2050:2570">
      <c r="A133" s="57"/>
      <c r="B133" s="52"/>
      <c r="C133" s="52"/>
      <c r="D133" s="52"/>
      <c r="E133" s="52"/>
      <c r="F133" s="58" t="str">
        <f>IFERROR(VLOOKUP(E133,日报!E:G,2,0),"")</f>
        <v/>
      </c>
      <c r="G133" s="52"/>
      <c r="H133" s="53" t="str">
        <f>IFERROR(VLOOKUP(E133,基础数据!$E$4:$H$4,4,0),"")</f>
        <v/>
      </c>
      <c r="I133" s="53" t="str">
        <f>IFERROR(VLOOKUP(E133,基础数据!$E$4:$H$4,3,0),"")</f>
        <v/>
      </c>
      <c r="J133" s="52"/>
      <c r="K133" s="54" t="str">
        <f t="shared" si="2"/>
        <v/>
      </c>
      <c r="T133" s="33"/>
      <c r="AD133" s="33"/>
      <c r="AN133" s="33"/>
      <c r="AX133" s="33"/>
      <c r="BH133" s="33"/>
      <c r="BR133" s="33"/>
      <c r="CB133" s="33"/>
      <c r="CL133" s="33"/>
      <c r="CV133" s="33"/>
      <c r="DF133" s="33"/>
      <c r="DP133" s="33"/>
      <c r="DZ133" s="33"/>
      <c r="EJ133" s="33"/>
      <c r="ET133" s="33"/>
      <c r="FD133" s="33"/>
      <c r="FN133" s="33"/>
      <c r="FX133" s="33"/>
      <c r="GH133" s="33"/>
      <c r="GR133" s="33"/>
      <c r="HB133" s="33"/>
      <c r="HL133" s="33"/>
      <c r="HV133" s="33"/>
      <c r="IF133" s="33"/>
      <c r="IP133" s="33"/>
      <c r="IZ133" s="33"/>
      <c r="JJ133" s="33"/>
      <c r="JT133" s="33"/>
      <c r="KD133" s="33"/>
      <c r="KN133" s="33"/>
      <c r="KX133" s="33"/>
      <c r="LH133" s="33"/>
      <c r="LR133" s="33"/>
      <c r="MB133" s="33"/>
      <c r="ML133" s="33"/>
      <c r="MV133" s="33"/>
      <c r="NF133" s="33"/>
      <c r="NP133" s="33"/>
      <c r="NZ133" s="33"/>
      <c r="OJ133" s="33"/>
      <c r="OT133" s="33"/>
      <c r="PD133" s="33"/>
      <c r="PN133" s="33"/>
      <c r="PX133" s="33"/>
      <c r="QH133" s="33"/>
      <c r="QR133" s="33"/>
      <c r="RB133" s="33"/>
      <c r="RL133" s="33"/>
      <c r="RV133" s="33"/>
      <c r="SF133" s="33"/>
      <c r="SP133" s="33"/>
      <c r="SZ133" s="33"/>
      <c r="TJ133" s="33"/>
      <c r="TT133" s="33"/>
      <c r="UD133" s="33"/>
      <c r="UN133" s="33"/>
      <c r="UX133" s="33"/>
      <c r="VH133" s="33"/>
      <c r="VR133" s="33"/>
      <c r="WB133" s="33"/>
      <c r="WL133" s="33"/>
      <c r="WV133" s="33"/>
      <c r="XF133" s="33"/>
      <c r="XP133" s="33"/>
      <c r="XZ133" s="33"/>
      <c r="YJ133" s="33"/>
      <c r="YT133" s="33"/>
      <c r="ZD133" s="33"/>
      <c r="ZN133" s="33"/>
      <c r="ZX133" s="33"/>
      <c r="AAH133" s="33"/>
      <c r="AAR133" s="33"/>
      <c r="ABB133" s="33"/>
      <c r="ABL133" s="33"/>
      <c r="ABV133" s="33"/>
      <c r="ACF133" s="33"/>
      <c r="ACP133" s="33"/>
      <c r="ACZ133" s="33"/>
      <c r="ADJ133" s="33"/>
      <c r="ADT133" s="33"/>
      <c r="AED133" s="33"/>
      <c r="AEN133" s="33"/>
      <c r="AEX133" s="33"/>
      <c r="AFH133" s="33"/>
      <c r="AFR133" s="33"/>
      <c r="AGB133" s="33"/>
      <c r="AGL133" s="33"/>
      <c r="AGV133" s="33"/>
      <c r="AHF133" s="33"/>
      <c r="AHP133" s="33"/>
      <c r="AHZ133" s="33"/>
      <c r="AIJ133" s="33"/>
      <c r="AIT133" s="33"/>
      <c r="AJD133" s="33"/>
      <c r="AJN133" s="33"/>
      <c r="AJX133" s="33"/>
      <c r="AKH133" s="33"/>
      <c r="AKR133" s="33"/>
      <c r="ALB133" s="33"/>
      <c r="ALL133" s="33"/>
      <c r="ALV133" s="33"/>
      <c r="AMF133" s="33"/>
      <c r="AMP133" s="33"/>
      <c r="AMZ133" s="33"/>
      <c r="ANJ133" s="33"/>
      <c r="ANT133" s="33"/>
      <c r="AOD133" s="33"/>
      <c r="AON133" s="33"/>
      <c r="AOX133" s="33"/>
      <c r="APH133" s="33"/>
      <c r="APR133" s="33"/>
      <c r="AQB133" s="33"/>
      <c r="AQL133" s="33"/>
      <c r="AQV133" s="33"/>
      <c r="ARF133" s="33"/>
      <c r="ARP133" s="33"/>
      <c r="ARZ133" s="33"/>
      <c r="ASJ133" s="33"/>
      <c r="AST133" s="33"/>
      <c r="ATD133" s="33"/>
      <c r="ATN133" s="33"/>
      <c r="ATX133" s="33"/>
      <c r="AUH133" s="33"/>
      <c r="AUR133" s="33"/>
      <c r="AVB133" s="33"/>
      <c r="AVL133" s="33"/>
      <c r="AVV133" s="33"/>
      <c r="AWF133" s="33"/>
      <c r="AWP133" s="33"/>
      <c r="AWZ133" s="33"/>
      <c r="AXJ133" s="33"/>
      <c r="AXT133" s="33"/>
      <c r="AYD133" s="33"/>
      <c r="AYN133" s="33"/>
      <c r="AYX133" s="33"/>
      <c r="AZH133" s="33"/>
      <c r="AZR133" s="33"/>
      <c r="BAB133" s="33"/>
      <c r="BAL133" s="33"/>
      <c r="BAV133" s="33"/>
      <c r="BBF133" s="33"/>
      <c r="BBP133" s="33"/>
      <c r="BBZ133" s="33"/>
      <c r="BCJ133" s="33"/>
      <c r="BCT133" s="33"/>
      <c r="BDD133" s="33"/>
      <c r="BDN133" s="33"/>
      <c r="BDX133" s="33"/>
      <c r="BEH133" s="33"/>
      <c r="BER133" s="33"/>
      <c r="BFB133" s="33"/>
      <c r="BFL133" s="33"/>
      <c r="BFV133" s="33"/>
      <c r="BGF133" s="33"/>
      <c r="BGP133" s="33"/>
      <c r="BGZ133" s="33"/>
      <c r="BHJ133" s="33"/>
      <c r="BHT133" s="33"/>
      <c r="BID133" s="33"/>
      <c r="BIN133" s="33"/>
      <c r="BIX133" s="33"/>
      <c r="BJH133" s="33"/>
      <c r="BJR133" s="33"/>
      <c r="BKB133" s="33"/>
      <c r="BKL133" s="33"/>
      <c r="BKV133" s="33"/>
      <c r="BLF133" s="33"/>
      <c r="BLP133" s="33"/>
      <c r="BLZ133" s="33"/>
      <c r="BMJ133" s="33"/>
      <c r="BMT133" s="33"/>
      <c r="BND133" s="33"/>
      <c r="BNN133" s="33"/>
      <c r="BNX133" s="33"/>
      <c r="BOH133" s="33"/>
      <c r="BOR133" s="33"/>
      <c r="BPB133" s="33"/>
      <c r="BPL133" s="33"/>
      <c r="BPV133" s="33"/>
      <c r="BQF133" s="33"/>
      <c r="BQP133" s="33"/>
      <c r="BQZ133" s="33"/>
      <c r="BRJ133" s="33"/>
      <c r="BRT133" s="33"/>
      <c r="BSD133" s="33"/>
      <c r="BSN133" s="33"/>
      <c r="BSX133" s="33"/>
      <c r="BTH133" s="33"/>
      <c r="BTR133" s="33"/>
      <c r="BUB133" s="33"/>
      <c r="BUL133" s="33"/>
      <c r="BUV133" s="33"/>
      <c r="BVF133" s="33"/>
      <c r="BVP133" s="33"/>
      <c r="BVZ133" s="33"/>
      <c r="BWJ133" s="33"/>
      <c r="BWT133" s="33"/>
      <c r="BXD133" s="33"/>
      <c r="BXN133" s="33"/>
      <c r="BXX133" s="33"/>
      <c r="BYH133" s="33"/>
      <c r="BYR133" s="33"/>
      <c r="BZB133" s="33"/>
      <c r="BZL133" s="33"/>
      <c r="BZV133" s="33"/>
      <c r="CAF133" s="33"/>
      <c r="CAP133" s="33"/>
      <c r="CAZ133" s="33"/>
      <c r="CBJ133" s="33"/>
      <c r="CBT133" s="33"/>
      <c r="CCD133" s="33"/>
      <c r="CCN133" s="33"/>
      <c r="CCX133" s="33"/>
      <c r="CDH133" s="33"/>
      <c r="CDR133" s="33"/>
      <c r="CEB133" s="33"/>
      <c r="CEL133" s="33"/>
      <c r="CEV133" s="33"/>
      <c r="CFF133" s="33"/>
      <c r="CFP133" s="33"/>
      <c r="CFZ133" s="33"/>
      <c r="CGJ133" s="33"/>
      <c r="CGT133" s="33"/>
      <c r="CHD133" s="33"/>
      <c r="CHN133" s="33"/>
      <c r="CHX133" s="33"/>
      <c r="CIH133" s="33"/>
      <c r="CIR133" s="33"/>
      <c r="CJB133" s="33"/>
      <c r="CJL133" s="33"/>
      <c r="CJV133" s="33"/>
      <c r="CKF133" s="33"/>
      <c r="CKP133" s="33"/>
      <c r="CKZ133" s="33"/>
      <c r="CLJ133" s="33"/>
      <c r="CLT133" s="33"/>
      <c r="CMD133" s="33"/>
      <c r="CMN133" s="33"/>
      <c r="CMX133" s="33"/>
      <c r="CNH133" s="33"/>
      <c r="CNR133" s="33"/>
      <c r="COB133" s="33"/>
      <c r="COL133" s="33"/>
      <c r="COV133" s="33"/>
      <c r="CPF133" s="33"/>
      <c r="CPP133" s="33"/>
      <c r="CPZ133" s="33"/>
      <c r="CQJ133" s="33"/>
      <c r="CQT133" s="33"/>
      <c r="CRD133" s="33"/>
      <c r="CRN133" s="33"/>
      <c r="CRX133" s="33"/>
      <c r="CSH133" s="33"/>
      <c r="CSR133" s="33"/>
      <c r="CTB133" s="33"/>
      <c r="CTL133" s="33"/>
      <c r="CTV133" s="33"/>
    </row>
    <row r="134" s="16" customFormat="1" customHeight="1" spans="1:1020 1030:2040 2050:2570">
      <c r="A134" s="57"/>
      <c r="B134" s="52"/>
      <c r="C134" s="52"/>
      <c r="D134" s="52"/>
      <c r="E134" s="52"/>
      <c r="F134" s="58" t="str">
        <f>IFERROR(VLOOKUP(E134,日报!E:G,2,0),"")</f>
        <v/>
      </c>
      <c r="G134" s="52"/>
      <c r="H134" s="53" t="str">
        <f>IFERROR(VLOOKUP(E134,基础数据!$E$4:$H$4,4,0),"")</f>
        <v/>
      </c>
      <c r="I134" s="53" t="str">
        <f>IFERROR(VLOOKUP(E134,基础数据!$E$4:$H$4,3,0),"")</f>
        <v/>
      </c>
      <c r="J134" s="52"/>
      <c r="K134" s="54" t="str">
        <f t="shared" si="2"/>
        <v/>
      </c>
      <c r="T134" s="33"/>
      <c r="AD134" s="33"/>
      <c r="AN134" s="33"/>
      <c r="AX134" s="33"/>
      <c r="BH134" s="33"/>
      <c r="BR134" s="33"/>
      <c r="CB134" s="33"/>
      <c r="CL134" s="33"/>
      <c r="CV134" s="33"/>
      <c r="DF134" s="33"/>
      <c r="DP134" s="33"/>
      <c r="DZ134" s="33"/>
      <c r="EJ134" s="33"/>
      <c r="ET134" s="33"/>
      <c r="FD134" s="33"/>
      <c r="FN134" s="33"/>
      <c r="FX134" s="33"/>
      <c r="GH134" s="33"/>
      <c r="GR134" s="33"/>
      <c r="HB134" s="33"/>
      <c r="HL134" s="33"/>
      <c r="HV134" s="33"/>
      <c r="IF134" s="33"/>
      <c r="IP134" s="33"/>
      <c r="IZ134" s="33"/>
      <c r="JJ134" s="33"/>
      <c r="JT134" s="33"/>
      <c r="KD134" s="33"/>
      <c r="KN134" s="33"/>
      <c r="KX134" s="33"/>
      <c r="LH134" s="33"/>
      <c r="LR134" s="33"/>
      <c r="MB134" s="33"/>
      <c r="ML134" s="33"/>
      <c r="MV134" s="33"/>
      <c r="NF134" s="33"/>
      <c r="NP134" s="33"/>
      <c r="NZ134" s="33"/>
      <c r="OJ134" s="33"/>
      <c r="OT134" s="33"/>
      <c r="PD134" s="33"/>
      <c r="PN134" s="33"/>
      <c r="PX134" s="33"/>
      <c r="QH134" s="33"/>
      <c r="QR134" s="33"/>
      <c r="RB134" s="33"/>
      <c r="RL134" s="33"/>
      <c r="RV134" s="33"/>
      <c r="SF134" s="33"/>
      <c r="SP134" s="33"/>
      <c r="SZ134" s="33"/>
      <c r="TJ134" s="33"/>
      <c r="TT134" s="33"/>
      <c r="UD134" s="33"/>
      <c r="UN134" s="33"/>
      <c r="UX134" s="33"/>
      <c r="VH134" s="33"/>
      <c r="VR134" s="33"/>
      <c r="WB134" s="33"/>
      <c r="WL134" s="33"/>
      <c r="WV134" s="33"/>
      <c r="XF134" s="33"/>
      <c r="XP134" s="33"/>
      <c r="XZ134" s="33"/>
      <c r="YJ134" s="33"/>
      <c r="YT134" s="33"/>
      <c r="ZD134" s="33"/>
      <c r="ZN134" s="33"/>
      <c r="ZX134" s="33"/>
      <c r="AAH134" s="33"/>
      <c r="AAR134" s="33"/>
      <c r="ABB134" s="33"/>
      <c r="ABL134" s="33"/>
      <c r="ABV134" s="33"/>
      <c r="ACF134" s="33"/>
      <c r="ACP134" s="33"/>
      <c r="ACZ134" s="33"/>
      <c r="ADJ134" s="33"/>
      <c r="ADT134" s="33"/>
      <c r="AED134" s="33"/>
      <c r="AEN134" s="33"/>
      <c r="AEX134" s="33"/>
      <c r="AFH134" s="33"/>
      <c r="AFR134" s="33"/>
      <c r="AGB134" s="33"/>
      <c r="AGL134" s="33"/>
      <c r="AGV134" s="33"/>
      <c r="AHF134" s="33"/>
      <c r="AHP134" s="33"/>
      <c r="AHZ134" s="33"/>
      <c r="AIJ134" s="33"/>
      <c r="AIT134" s="33"/>
      <c r="AJD134" s="33"/>
      <c r="AJN134" s="33"/>
      <c r="AJX134" s="33"/>
      <c r="AKH134" s="33"/>
      <c r="AKR134" s="33"/>
      <c r="ALB134" s="33"/>
      <c r="ALL134" s="33"/>
      <c r="ALV134" s="33"/>
      <c r="AMF134" s="33"/>
      <c r="AMP134" s="33"/>
      <c r="AMZ134" s="33"/>
      <c r="ANJ134" s="33"/>
      <c r="ANT134" s="33"/>
      <c r="AOD134" s="33"/>
      <c r="AON134" s="33"/>
      <c r="AOX134" s="33"/>
      <c r="APH134" s="33"/>
      <c r="APR134" s="33"/>
      <c r="AQB134" s="33"/>
      <c r="AQL134" s="33"/>
      <c r="AQV134" s="33"/>
      <c r="ARF134" s="33"/>
      <c r="ARP134" s="33"/>
      <c r="ARZ134" s="33"/>
      <c r="ASJ134" s="33"/>
      <c r="AST134" s="33"/>
      <c r="ATD134" s="33"/>
      <c r="ATN134" s="33"/>
      <c r="ATX134" s="33"/>
      <c r="AUH134" s="33"/>
      <c r="AUR134" s="33"/>
      <c r="AVB134" s="33"/>
      <c r="AVL134" s="33"/>
      <c r="AVV134" s="33"/>
      <c r="AWF134" s="33"/>
      <c r="AWP134" s="33"/>
      <c r="AWZ134" s="33"/>
      <c r="AXJ134" s="33"/>
      <c r="AXT134" s="33"/>
      <c r="AYD134" s="33"/>
      <c r="AYN134" s="33"/>
      <c r="AYX134" s="33"/>
      <c r="AZH134" s="33"/>
      <c r="AZR134" s="33"/>
      <c r="BAB134" s="33"/>
      <c r="BAL134" s="33"/>
      <c r="BAV134" s="33"/>
      <c r="BBF134" s="33"/>
      <c r="BBP134" s="33"/>
      <c r="BBZ134" s="33"/>
      <c r="BCJ134" s="33"/>
      <c r="BCT134" s="33"/>
      <c r="BDD134" s="33"/>
      <c r="BDN134" s="33"/>
      <c r="BDX134" s="33"/>
      <c r="BEH134" s="33"/>
      <c r="BER134" s="33"/>
      <c r="BFB134" s="33"/>
      <c r="BFL134" s="33"/>
      <c r="BFV134" s="33"/>
      <c r="BGF134" s="33"/>
      <c r="BGP134" s="33"/>
      <c r="BGZ134" s="33"/>
      <c r="BHJ134" s="33"/>
      <c r="BHT134" s="33"/>
      <c r="BID134" s="33"/>
      <c r="BIN134" s="33"/>
      <c r="BIX134" s="33"/>
      <c r="BJH134" s="33"/>
      <c r="BJR134" s="33"/>
      <c r="BKB134" s="33"/>
      <c r="BKL134" s="33"/>
      <c r="BKV134" s="33"/>
      <c r="BLF134" s="33"/>
      <c r="BLP134" s="33"/>
      <c r="BLZ134" s="33"/>
      <c r="BMJ134" s="33"/>
      <c r="BMT134" s="33"/>
      <c r="BND134" s="33"/>
      <c r="BNN134" s="33"/>
      <c r="BNX134" s="33"/>
      <c r="BOH134" s="33"/>
      <c r="BOR134" s="33"/>
      <c r="BPB134" s="33"/>
      <c r="BPL134" s="33"/>
      <c r="BPV134" s="33"/>
      <c r="BQF134" s="33"/>
      <c r="BQP134" s="33"/>
      <c r="BQZ134" s="33"/>
      <c r="BRJ134" s="33"/>
      <c r="BRT134" s="33"/>
      <c r="BSD134" s="33"/>
      <c r="BSN134" s="33"/>
      <c r="BSX134" s="33"/>
      <c r="BTH134" s="33"/>
      <c r="BTR134" s="33"/>
      <c r="BUB134" s="33"/>
      <c r="BUL134" s="33"/>
      <c r="BUV134" s="33"/>
      <c r="BVF134" s="33"/>
      <c r="BVP134" s="33"/>
      <c r="BVZ134" s="33"/>
      <c r="BWJ134" s="33"/>
      <c r="BWT134" s="33"/>
      <c r="BXD134" s="33"/>
      <c r="BXN134" s="33"/>
      <c r="BXX134" s="33"/>
      <c r="BYH134" s="33"/>
      <c r="BYR134" s="33"/>
      <c r="BZB134" s="33"/>
      <c r="BZL134" s="33"/>
      <c r="BZV134" s="33"/>
      <c r="CAF134" s="33"/>
      <c r="CAP134" s="33"/>
      <c r="CAZ134" s="33"/>
      <c r="CBJ134" s="33"/>
      <c r="CBT134" s="33"/>
      <c r="CCD134" s="33"/>
      <c r="CCN134" s="33"/>
      <c r="CCX134" s="33"/>
      <c r="CDH134" s="33"/>
      <c r="CDR134" s="33"/>
      <c r="CEB134" s="33"/>
      <c r="CEL134" s="33"/>
      <c r="CEV134" s="33"/>
      <c r="CFF134" s="33"/>
      <c r="CFP134" s="33"/>
      <c r="CFZ134" s="33"/>
      <c r="CGJ134" s="33"/>
      <c r="CGT134" s="33"/>
      <c r="CHD134" s="33"/>
      <c r="CHN134" s="33"/>
      <c r="CHX134" s="33"/>
      <c r="CIH134" s="33"/>
      <c r="CIR134" s="33"/>
      <c r="CJB134" s="33"/>
      <c r="CJL134" s="33"/>
      <c r="CJV134" s="33"/>
      <c r="CKF134" s="33"/>
      <c r="CKP134" s="33"/>
      <c r="CKZ134" s="33"/>
      <c r="CLJ134" s="33"/>
      <c r="CLT134" s="33"/>
      <c r="CMD134" s="33"/>
      <c r="CMN134" s="33"/>
      <c r="CMX134" s="33"/>
      <c r="CNH134" s="33"/>
      <c r="CNR134" s="33"/>
      <c r="COB134" s="33"/>
      <c r="COL134" s="33"/>
      <c r="COV134" s="33"/>
      <c r="CPF134" s="33"/>
      <c r="CPP134" s="33"/>
      <c r="CPZ134" s="33"/>
      <c r="CQJ134" s="33"/>
      <c r="CQT134" s="33"/>
      <c r="CRD134" s="33"/>
      <c r="CRN134" s="33"/>
      <c r="CRX134" s="33"/>
      <c r="CSH134" s="33"/>
      <c r="CSR134" s="33"/>
      <c r="CTB134" s="33"/>
      <c r="CTL134" s="33"/>
      <c r="CTV134" s="33"/>
    </row>
    <row r="135" s="16" customFormat="1" customHeight="1" spans="1:1020 1030:2040 2050:2570">
      <c r="A135" s="57"/>
      <c r="B135" s="52"/>
      <c r="C135" s="52"/>
      <c r="D135" s="52"/>
      <c r="E135" s="52"/>
      <c r="F135" s="58" t="str">
        <f>IFERROR(VLOOKUP(E135,日报!E:G,2,0),"")</f>
        <v/>
      </c>
      <c r="G135" s="52"/>
      <c r="H135" s="53" t="str">
        <f>IFERROR(VLOOKUP(E135,基础数据!$E$4:$H$4,4,0),"")</f>
        <v/>
      </c>
      <c r="I135" s="53" t="str">
        <f>IFERROR(VLOOKUP(E135,基础数据!$E$4:$H$4,3,0),"")</f>
        <v/>
      </c>
      <c r="J135" s="52"/>
      <c r="K135" s="54" t="str">
        <f t="shared" si="2"/>
        <v/>
      </c>
      <c r="T135" s="33"/>
      <c r="AD135" s="33"/>
      <c r="AN135" s="33"/>
      <c r="AX135" s="33"/>
      <c r="BH135" s="33"/>
      <c r="BR135" s="33"/>
      <c r="CB135" s="33"/>
      <c r="CL135" s="33"/>
      <c r="CV135" s="33"/>
      <c r="DF135" s="33"/>
      <c r="DP135" s="33"/>
      <c r="DZ135" s="33"/>
      <c r="EJ135" s="33"/>
      <c r="ET135" s="33"/>
      <c r="FD135" s="33"/>
      <c r="FN135" s="33"/>
      <c r="FX135" s="33"/>
      <c r="GH135" s="33"/>
      <c r="GR135" s="33"/>
      <c r="HB135" s="33"/>
      <c r="HL135" s="33"/>
      <c r="HV135" s="33"/>
      <c r="IF135" s="33"/>
      <c r="IP135" s="33"/>
      <c r="IZ135" s="33"/>
      <c r="JJ135" s="33"/>
      <c r="JT135" s="33"/>
      <c r="KD135" s="33"/>
      <c r="KN135" s="33"/>
      <c r="KX135" s="33"/>
      <c r="LH135" s="33"/>
      <c r="LR135" s="33"/>
      <c r="MB135" s="33"/>
      <c r="ML135" s="33"/>
      <c r="MV135" s="33"/>
      <c r="NF135" s="33"/>
      <c r="NP135" s="33"/>
      <c r="NZ135" s="33"/>
      <c r="OJ135" s="33"/>
      <c r="OT135" s="33"/>
      <c r="PD135" s="33"/>
      <c r="PN135" s="33"/>
      <c r="PX135" s="33"/>
      <c r="QH135" s="33"/>
      <c r="QR135" s="33"/>
      <c r="RB135" s="33"/>
      <c r="RL135" s="33"/>
      <c r="RV135" s="33"/>
      <c r="SF135" s="33"/>
      <c r="SP135" s="33"/>
      <c r="SZ135" s="33"/>
      <c r="TJ135" s="33"/>
      <c r="TT135" s="33"/>
      <c r="UD135" s="33"/>
      <c r="UN135" s="33"/>
      <c r="UX135" s="33"/>
      <c r="VH135" s="33"/>
      <c r="VR135" s="33"/>
      <c r="WB135" s="33"/>
      <c r="WL135" s="33"/>
      <c r="WV135" s="33"/>
      <c r="XF135" s="33"/>
      <c r="XP135" s="33"/>
      <c r="XZ135" s="33"/>
      <c r="YJ135" s="33"/>
      <c r="YT135" s="33"/>
      <c r="ZD135" s="33"/>
      <c r="ZN135" s="33"/>
      <c r="ZX135" s="33"/>
      <c r="AAH135" s="33"/>
      <c r="AAR135" s="33"/>
      <c r="ABB135" s="33"/>
      <c r="ABL135" s="33"/>
      <c r="ABV135" s="33"/>
      <c r="ACF135" s="33"/>
      <c r="ACP135" s="33"/>
      <c r="ACZ135" s="33"/>
      <c r="ADJ135" s="33"/>
      <c r="ADT135" s="33"/>
      <c r="AED135" s="33"/>
      <c r="AEN135" s="33"/>
      <c r="AEX135" s="33"/>
      <c r="AFH135" s="33"/>
      <c r="AFR135" s="33"/>
      <c r="AGB135" s="33"/>
      <c r="AGL135" s="33"/>
      <c r="AGV135" s="33"/>
      <c r="AHF135" s="33"/>
      <c r="AHP135" s="33"/>
      <c r="AHZ135" s="33"/>
      <c r="AIJ135" s="33"/>
      <c r="AIT135" s="33"/>
      <c r="AJD135" s="33"/>
      <c r="AJN135" s="33"/>
      <c r="AJX135" s="33"/>
      <c r="AKH135" s="33"/>
      <c r="AKR135" s="33"/>
      <c r="ALB135" s="33"/>
      <c r="ALL135" s="33"/>
      <c r="ALV135" s="33"/>
      <c r="AMF135" s="33"/>
      <c r="AMP135" s="33"/>
      <c r="AMZ135" s="33"/>
      <c r="ANJ135" s="33"/>
      <c r="ANT135" s="33"/>
      <c r="AOD135" s="33"/>
      <c r="AON135" s="33"/>
      <c r="AOX135" s="33"/>
      <c r="APH135" s="33"/>
      <c r="APR135" s="33"/>
      <c r="AQB135" s="33"/>
      <c r="AQL135" s="33"/>
      <c r="AQV135" s="33"/>
      <c r="ARF135" s="33"/>
      <c r="ARP135" s="33"/>
      <c r="ARZ135" s="33"/>
      <c r="ASJ135" s="33"/>
      <c r="AST135" s="33"/>
      <c r="ATD135" s="33"/>
      <c r="ATN135" s="33"/>
      <c r="ATX135" s="33"/>
      <c r="AUH135" s="33"/>
      <c r="AUR135" s="33"/>
      <c r="AVB135" s="33"/>
      <c r="AVL135" s="33"/>
      <c r="AVV135" s="33"/>
      <c r="AWF135" s="33"/>
      <c r="AWP135" s="33"/>
      <c r="AWZ135" s="33"/>
      <c r="AXJ135" s="33"/>
      <c r="AXT135" s="33"/>
      <c r="AYD135" s="33"/>
      <c r="AYN135" s="33"/>
      <c r="AYX135" s="33"/>
      <c r="AZH135" s="33"/>
      <c r="AZR135" s="33"/>
      <c r="BAB135" s="33"/>
      <c r="BAL135" s="33"/>
      <c r="BAV135" s="33"/>
      <c r="BBF135" s="33"/>
      <c r="BBP135" s="33"/>
      <c r="BBZ135" s="33"/>
      <c r="BCJ135" s="33"/>
      <c r="BCT135" s="33"/>
      <c r="BDD135" s="33"/>
      <c r="BDN135" s="33"/>
      <c r="BDX135" s="33"/>
      <c r="BEH135" s="33"/>
      <c r="BER135" s="33"/>
      <c r="BFB135" s="33"/>
      <c r="BFL135" s="33"/>
      <c r="BFV135" s="33"/>
      <c r="BGF135" s="33"/>
      <c r="BGP135" s="33"/>
      <c r="BGZ135" s="33"/>
      <c r="BHJ135" s="33"/>
      <c r="BHT135" s="33"/>
      <c r="BID135" s="33"/>
      <c r="BIN135" s="33"/>
      <c r="BIX135" s="33"/>
      <c r="BJH135" s="33"/>
      <c r="BJR135" s="33"/>
      <c r="BKB135" s="33"/>
      <c r="BKL135" s="33"/>
      <c r="BKV135" s="33"/>
      <c r="BLF135" s="33"/>
      <c r="BLP135" s="33"/>
      <c r="BLZ135" s="33"/>
      <c r="BMJ135" s="33"/>
      <c r="BMT135" s="33"/>
      <c r="BND135" s="33"/>
      <c r="BNN135" s="33"/>
      <c r="BNX135" s="33"/>
      <c r="BOH135" s="33"/>
      <c r="BOR135" s="33"/>
      <c r="BPB135" s="33"/>
      <c r="BPL135" s="33"/>
      <c r="BPV135" s="33"/>
      <c r="BQF135" s="33"/>
      <c r="BQP135" s="33"/>
      <c r="BQZ135" s="33"/>
      <c r="BRJ135" s="33"/>
      <c r="BRT135" s="33"/>
      <c r="BSD135" s="33"/>
      <c r="BSN135" s="33"/>
      <c r="BSX135" s="33"/>
      <c r="BTH135" s="33"/>
      <c r="BTR135" s="33"/>
      <c r="BUB135" s="33"/>
      <c r="BUL135" s="33"/>
      <c r="BUV135" s="33"/>
      <c r="BVF135" s="33"/>
      <c r="BVP135" s="33"/>
      <c r="BVZ135" s="33"/>
      <c r="BWJ135" s="33"/>
      <c r="BWT135" s="33"/>
      <c r="BXD135" s="33"/>
      <c r="BXN135" s="33"/>
      <c r="BXX135" s="33"/>
      <c r="BYH135" s="33"/>
      <c r="BYR135" s="33"/>
      <c r="BZB135" s="33"/>
      <c r="BZL135" s="33"/>
      <c r="BZV135" s="33"/>
      <c r="CAF135" s="33"/>
      <c r="CAP135" s="33"/>
      <c r="CAZ135" s="33"/>
      <c r="CBJ135" s="33"/>
      <c r="CBT135" s="33"/>
      <c r="CCD135" s="33"/>
      <c r="CCN135" s="33"/>
      <c r="CCX135" s="33"/>
      <c r="CDH135" s="33"/>
      <c r="CDR135" s="33"/>
      <c r="CEB135" s="33"/>
      <c r="CEL135" s="33"/>
      <c r="CEV135" s="33"/>
      <c r="CFF135" s="33"/>
      <c r="CFP135" s="33"/>
      <c r="CFZ135" s="33"/>
      <c r="CGJ135" s="33"/>
      <c r="CGT135" s="33"/>
      <c r="CHD135" s="33"/>
      <c r="CHN135" s="33"/>
      <c r="CHX135" s="33"/>
      <c r="CIH135" s="33"/>
      <c r="CIR135" s="33"/>
      <c r="CJB135" s="33"/>
      <c r="CJL135" s="33"/>
      <c r="CJV135" s="33"/>
      <c r="CKF135" s="33"/>
      <c r="CKP135" s="33"/>
      <c r="CKZ135" s="33"/>
      <c r="CLJ135" s="33"/>
      <c r="CLT135" s="33"/>
      <c r="CMD135" s="33"/>
      <c r="CMN135" s="33"/>
      <c r="CMX135" s="33"/>
      <c r="CNH135" s="33"/>
      <c r="CNR135" s="33"/>
      <c r="COB135" s="33"/>
      <c r="COL135" s="33"/>
      <c r="COV135" s="33"/>
      <c r="CPF135" s="33"/>
      <c r="CPP135" s="33"/>
      <c r="CPZ135" s="33"/>
      <c r="CQJ135" s="33"/>
      <c r="CQT135" s="33"/>
      <c r="CRD135" s="33"/>
      <c r="CRN135" s="33"/>
      <c r="CRX135" s="33"/>
      <c r="CSH135" s="33"/>
      <c r="CSR135" s="33"/>
      <c r="CTB135" s="33"/>
      <c r="CTL135" s="33"/>
      <c r="CTV135" s="33"/>
    </row>
    <row r="136" s="16" customFormat="1" customHeight="1" spans="1:1020 1030:2040 2050:2570">
      <c r="A136" s="57"/>
      <c r="B136" s="52"/>
      <c r="C136" s="52"/>
      <c r="D136" s="52"/>
      <c r="E136" s="52"/>
      <c r="F136" s="58" t="str">
        <f>IFERROR(VLOOKUP(E136,日报!E:G,2,0),"")</f>
        <v/>
      </c>
      <c r="G136" s="52"/>
      <c r="H136" s="53" t="str">
        <f>IFERROR(VLOOKUP(E136,基础数据!$E$4:$H$4,4,0),"")</f>
        <v/>
      </c>
      <c r="I136" s="53" t="str">
        <f>IFERROR(VLOOKUP(E136,基础数据!$E$4:$H$4,3,0),"")</f>
        <v/>
      </c>
      <c r="J136" s="52"/>
      <c r="K136" s="54" t="str">
        <f t="shared" si="2"/>
        <v/>
      </c>
      <c r="T136" s="33"/>
      <c r="AD136" s="33"/>
      <c r="AN136" s="33"/>
      <c r="AX136" s="33"/>
      <c r="BH136" s="33"/>
      <c r="BR136" s="33"/>
      <c r="CB136" s="33"/>
      <c r="CL136" s="33"/>
      <c r="CV136" s="33"/>
      <c r="DF136" s="33"/>
      <c r="DP136" s="33"/>
      <c r="DZ136" s="33"/>
      <c r="EJ136" s="33"/>
      <c r="ET136" s="33"/>
      <c r="FD136" s="33"/>
      <c r="FN136" s="33"/>
      <c r="FX136" s="33"/>
      <c r="GH136" s="33"/>
      <c r="GR136" s="33"/>
      <c r="HB136" s="33"/>
      <c r="HL136" s="33"/>
      <c r="HV136" s="33"/>
      <c r="IF136" s="33"/>
      <c r="IP136" s="33"/>
      <c r="IZ136" s="33"/>
      <c r="JJ136" s="33"/>
      <c r="JT136" s="33"/>
      <c r="KD136" s="33"/>
      <c r="KN136" s="33"/>
      <c r="KX136" s="33"/>
      <c r="LH136" s="33"/>
      <c r="LR136" s="33"/>
      <c r="MB136" s="33"/>
      <c r="ML136" s="33"/>
      <c r="MV136" s="33"/>
      <c r="NF136" s="33"/>
      <c r="NP136" s="33"/>
      <c r="NZ136" s="33"/>
      <c r="OJ136" s="33"/>
      <c r="OT136" s="33"/>
      <c r="PD136" s="33"/>
      <c r="PN136" s="33"/>
      <c r="PX136" s="33"/>
      <c r="QH136" s="33"/>
      <c r="QR136" s="33"/>
      <c r="RB136" s="33"/>
      <c r="RL136" s="33"/>
      <c r="RV136" s="33"/>
      <c r="SF136" s="33"/>
      <c r="SP136" s="33"/>
      <c r="SZ136" s="33"/>
      <c r="TJ136" s="33"/>
      <c r="TT136" s="33"/>
      <c r="UD136" s="33"/>
      <c r="UN136" s="33"/>
      <c r="UX136" s="33"/>
      <c r="VH136" s="33"/>
      <c r="VR136" s="33"/>
      <c r="WB136" s="33"/>
      <c r="WL136" s="33"/>
      <c r="WV136" s="33"/>
      <c r="XF136" s="33"/>
      <c r="XP136" s="33"/>
      <c r="XZ136" s="33"/>
      <c r="YJ136" s="33"/>
      <c r="YT136" s="33"/>
      <c r="ZD136" s="33"/>
      <c r="ZN136" s="33"/>
      <c r="ZX136" s="33"/>
      <c r="AAH136" s="33"/>
      <c r="AAR136" s="33"/>
      <c r="ABB136" s="33"/>
      <c r="ABL136" s="33"/>
      <c r="ABV136" s="33"/>
      <c r="ACF136" s="33"/>
      <c r="ACP136" s="33"/>
      <c r="ACZ136" s="33"/>
      <c r="ADJ136" s="33"/>
      <c r="ADT136" s="33"/>
      <c r="AED136" s="33"/>
      <c r="AEN136" s="33"/>
      <c r="AEX136" s="33"/>
      <c r="AFH136" s="33"/>
      <c r="AFR136" s="33"/>
      <c r="AGB136" s="33"/>
      <c r="AGL136" s="33"/>
      <c r="AGV136" s="33"/>
      <c r="AHF136" s="33"/>
      <c r="AHP136" s="33"/>
      <c r="AHZ136" s="33"/>
      <c r="AIJ136" s="33"/>
      <c r="AIT136" s="33"/>
      <c r="AJD136" s="33"/>
      <c r="AJN136" s="33"/>
      <c r="AJX136" s="33"/>
      <c r="AKH136" s="33"/>
      <c r="AKR136" s="33"/>
      <c r="ALB136" s="33"/>
      <c r="ALL136" s="33"/>
      <c r="ALV136" s="33"/>
      <c r="AMF136" s="33"/>
      <c r="AMP136" s="33"/>
      <c r="AMZ136" s="33"/>
      <c r="ANJ136" s="33"/>
      <c r="ANT136" s="33"/>
      <c r="AOD136" s="33"/>
      <c r="AON136" s="33"/>
      <c r="AOX136" s="33"/>
      <c r="APH136" s="33"/>
      <c r="APR136" s="33"/>
      <c r="AQB136" s="33"/>
      <c r="AQL136" s="33"/>
      <c r="AQV136" s="33"/>
      <c r="ARF136" s="33"/>
      <c r="ARP136" s="33"/>
      <c r="ARZ136" s="33"/>
      <c r="ASJ136" s="33"/>
      <c r="AST136" s="33"/>
      <c r="ATD136" s="33"/>
      <c r="ATN136" s="33"/>
      <c r="ATX136" s="33"/>
      <c r="AUH136" s="33"/>
      <c r="AUR136" s="33"/>
      <c r="AVB136" s="33"/>
      <c r="AVL136" s="33"/>
      <c r="AVV136" s="33"/>
      <c r="AWF136" s="33"/>
      <c r="AWP136" s="33"/>
      <c r="AWZ136" s="33"/>
      <c r="AXJ136" s="33"/>
      <c r="AXT136" s="33"/>
      <c r="AYD136" s="33"/>
      <c r="AYN136" s="33"/>
      <c r="AYX136" s="33"/>
      <c r="AZH136" s="33"/>
      <c r="AZR136" s="33"/>
      <c r="BAB136" s="33"/>
      <c r="BAL136" s="33"/>
      <c r="BAV136" s="33"/>
      <c r="BBF136" s="33"/>
      <c r="BBP136" s="33"/>
      <c r="BBZ136" s="33"/>
      <c r="BCJ136" s="33"/>
      <c r="BCT136" s="33"/>
      <c r="BDD136" s="33"/>
      <c r="BDN136" s="33"/>
      <c r="BDX136" s="33"/>
      <c r="BEH136" s="33"/>
      <c r="BER136" s="33"/>
      <c r="BFB136" s="33"/>
      <c r="BFL136" s="33"/>
      <c r="BFV136" s="33"/>
      <c r="BGF136" s="33"/>
      <c r="BGP136" s="33"/>
      <c r="BGZ136" s="33"/>
      <c r="BHJ136" s="33"/>
      <c r="BHT136" s="33"/>
      <c r="BID136" s="33"/>
      <c r="BIN136" s="33"/>
      <c r="BIX136" s="33"/>
      <c r="BJH136" s="33"/>
      <c r="BJR136" s="33"/>
      <c r="BKB136" s="33"/>
      <c r="BKL136" s="33"/>
      <c r="BKV136" s="33"/>
      <c r="BLF136" s="33"/>
      <c r="BLP136" s="33"/>
      <c r="BLZ136" s="33"/>
      <c r="BMJ136" s="33"/>
      <c r="BMT136" s="33"/>
      <c r="BND136" s="33"/>
      <c r="BNN136" s="33"/>
      <c r="BNX136" s="33"/>
      <c r="BOH136" s="33"/>
      <c r="BOR136" s="33"/>
      <c r="BPB136" s="33"/>
      <c r="BPL136" s="33"/>
      <c r="BPV136" s="33"/>
      <c r="BQF136" s="33"/>
      <c r="BQP136" s="33"/>
      <c r="BQZ136" s="33"/>
      <c r="BRJ136" s="33"/>
      <c r="BRT136" s="33"/>
      <c r="BSD136" s="33"/>
      <c r="BSN136" s="33"/>
      <c r="BSX136" s="33"/>
      <c r="BTH136" s="33"/>
      <c r="BTR136" s="33"/>
      <c r="BUB136" s="33"/>
      <c r="BUL136" s="33"/>
      <c r="BUV136" s="33"/>
      <c r="BVF136" s="33"/>
      <c r="BVP136" s="33"/>
      <c r="BVZ136" s="33"/>
      <c r="BWJ136" s="33"/>
      <c r="BWT136" s="33"/>
      <c r="BXD136" s="33"/>
      <c r="BXN136" s="33"/>
      <c r="BXX136" s="33"/>
      <c r="BYH136" s="33"/>
      <c r="BYR136" s="33"/>
      <c r="BZB136" s="33"/>
      <c r="BZL136" s="33"/>
      <c r="BZV136" s="33"/>
      <c r="CAF136" s="33"/>
      <c r="CAP136" s="33"/>
      <c r="CAZ136" s="33"/>
      <c r="CBJ136" s="33"/>
      <c r="CBT136" s="33"/>
      <c r="CCD136" s="33"/>
      <c r="CCN136" s="33"/>
      <c r="CCX136" s="33"/>
      <c r="CDH136" s="33"/>
      <c r="CDR136" s="33"/>
      <c r="CEB136" s="33"/>
      <c r="CEL136" s="33"/>
      <c r="CEV136" s="33"/>
      <c r="CFF136" s="33"/>
      <c r="CFP136" s="33"/>
      <c r="CFZ136" s="33"/>
      <c r="CGJ136" s="33"/>
      <c r="CGT136" s="33"/>
      <c r="CHD136" s="33"/>
      <c r="CHN136" s="33"/>
      <c r="CHX136" s="33"/>
      <c r="CIH136" s="33"/>
      <c r="CIR136" s="33"/>
      <c r="CJB136" s="33"/>
      <c r="CJL136" s="33"/>
      <c r="CJV136" s="33"/>
      <c r="CKF136" s="33"/>
      <c r="CKP136" s="33"/>
      <c r="CKZ136" s="33"/>
      <c r="CLJ136" s="33"/>
      <c r="CLT136" s="33"/>
      <c r="CMD136" s="33"/>
      <c r="CMN136" s="33"/>
      <c r="CMX136" s="33"/>
      <c r="CNH136" s="33"/>
      <c r="CNR136" s="33"/>
      <c r="COB136" s="33"/>
      <c r="COL136" s="33"/>
      <c r="COV136" s="33"/>
      <c r="CPF136" s="33"/>
      <c r="CPP136" s="33"/>
      <c r="CPZ136" s="33"/>
      <c r="CQJ136" s="33"/>
      <c r="CQT136" s="33"/>
      <c r="CRD136" s="33"/>
      <c r="CRN136" s="33"/>
      <c r="CRX136" s="33"/>
      <c r="CSH136" s="33"/>
      <c r="CSR136" s="33"/>
      <c r="CTB136" s="33"/>
      <c r="CTL136" s="33"/>
      <c r="CTV136" s="33"/>
    </row>
    <row r="137" s="16" customFormat="1" customHeight="1" spans="1:1020 1030:2040 2050:2570">
      <c r="A137" s="57"/>
      <c r="B137" s="52"/>
      <c r="C137" s="52"/>
      <c r="D137" s="52"/>
      <c r="E137" s="52"/>
      <c r="F137" s="58" t="str">
        <f>IFERROR(VLOOKUP(E137,日报!E:G,2,0),"")</f>
        <v/>
      </c>
      <c r="G137" s="52"/>
      <c r="H137" s="53" t="str">
        <f>IFERROR(VLOOKUP(E137,基础数据!$E$4:$H$4,4,0),"")</f>
        <v/>
      </c>
      <c r="I137" s="53" t="str">
        <f>IFERROR(VLOOKUP(E137,基础数据!$E$4:$H$4,3,0),"")</f>
        <v/>
      </c>
      <c r="J137" s="52"/>
      <c r="K137" s="54" t="str">
        <f t="shared" si="2"/>
        <v/>
      </c>
      <c r="T137" s="33"/>
      <c r="AD137" s="33"/>
      <c r="AN137" s="33"/>
      <c r="AX137" s="33"/>
      <c r="BH137" s="33"/>
      <c r="BR137" s="33"/>
      <c r="CB137" s="33"/>
      <c r="CL137" s="33"/>
      <c r="CV137" s="33"/>
      <c r="DF137" s="33"/>
      <c r="DP137" s="33"/>
      <c r="DZ137" s="33"/>
      <c r="EJ137" s="33"/>
      <c r="ET137" s="33"/>
      <c r="FD137" s="33"/>
      <c r="FN137" s="33"/>
      <c r="FX137" s="33"/>
      <c r="GH137" s="33"/>
      <c r="GR137" s="33"/>
      <c r="HB137" s="33"/>
      <c r="HL137" s="33"/>
      <c r="HV137" s="33"/>
      <c r="IF137" s="33"/>
      <c r="IP137" s="33"/>
      <c r="IZ137" s="33"/>
      <c r="JJ137" s="33"/>
      <c r="JT137" s="33"/>
      <c r="KD137" s="33"/>
      <c r="KN137" s="33"/>
      <c r="KX137" s="33"/>
      <c r="LH137" s="33"/>
      <c r="LR137" s="33"/>
      <c r="MB137" s="33"/>
      <c r="ML137" s="33"/>
      <c r="MV137" s="33"/>
      <c r="NF137" s="33"/>
      <c r="NP137" s="33"/>
      <c r="NZ137" s="33"/>
      <c r="OJ137" s="33"/>
      <c r="OT137" s="33"/>
      <c r="PD137" s="33"/>
      <c r="PN137" s="33"/>
      <c r="PX137" s="33"/>
      <c r="QH137" s="33"/>
      <c r="QR137" s="33"/>
      <c r="RB137" s="33"/>
      <c r="RL137" s="33"/>
      <c r="RV137" s="33"/>
      <c r="SF137" s="33"/>
      <c r="SP137" s="33"/>
      <c r="SZ137" s="33"/>
      <c r="TJ137" s="33"/>
      <c r="TT137" s="33"/>
      <c r="UD137" s="33"/>
      <c r="UN137" s="33"/>
      <c r="UX137" s="33"/>
      <c r="VH137" s="33"/>
      <c r="VR137" s="33"/>
      <c r="WB137" s="33"/>
      <c r="WL137" s="33"/>
      <c r="WV137" s="33"/>
      <c r="XF137" s="33"/>
      <c r="XP137" s="33"/>
      <c r="XZ137" s="33"/>
      <c r="YJ137" s="33"/>
      <c r="YT137" s="33"/>
      <c r="ZD137" s="33"/>
      <c r="ZN137" s="33"/>
      <c r="ZX137" s="33"/>
      <c r="AAH137" s="33"/>
      <c r="AAR137" s="33"/>
      <c r="ABB137" s="33"/>
      <c r="ABL137" s="33"/>
      <c r="ABV137" s="33"/>
      <c r="ACF137" s="33"/>
      <c r="ACP137" s="33"/>
      <c r="ACZ137" s="33"/>
      <c r="ADJ137" s="33"/>
      <c r="ADT137" s="33"/>
      <c r="AED137" s="33"/>
      <c r="AEN137" s="33"/>
      <c r="AEX137" s="33"/>
      <c r="AFH137" s="33"/>
      <c r="AFR137" s="33"/>
      <c r="AGB137" s="33"/>
      <c r="AGL137" s="33"/>
      <c r="AGV137" s="33"/>
      <c r="AHF137" s="33"/>
      <c r="AHP137" s="33"/>
      <c r="AHZ137" s="33"/>
      <c r="AIJ137" s="33"/>
      <c r="AIT137" s="33"/>
      <c r="AJD137" s="33"/>
      <c r="AJN137" s="33"/>
      <c r="AJX137" s="33"/>
      <c r="AKH137" s="33"/>
      <c r="AKR137" s="33"/>
      <c r="ALB137" s="33"/>
      <c r="ALL137" s="33"/>
      <c r="ALV137" s="33"/>
      <c r="AMF137" s="33"/>
      <c r="AMP137" s="33"/>
      <c r="AMZ137" s="33"/>
      <c r="ANJ137" s="33"/>
      <c r="ANT137" s="33"/>
      <c r="AOD137" s="33"/>
      <c r="AON137" s="33"/>
      <c r="AOX137" s="33"/>
      <c r="APH137" s="33"/>
      <c r="APR137" s="33"/>
      <c r="AQB137" s="33"/>
      <c r="AQL137" s="33"/>
      <c r="AQV137" s="33"/>
      <c r="ARF137" s="33"/>
      <c r="ARP137" s="33"/>
      <c r="ARZ137" s="33"/>
      <c r="ASJ137" s="33"/>
      <c r="AST137" s="33"/>
      <c r="ATD137" s="33"/>
      <c r="ATN137" s="33"/>
      <c r="ATX137" s="33"/>
      <c r="AUH137" s="33"/>
      <c r="AUR137" s="33"/>
      <c r="AVB137" s="33"/>
      <c r="AVL137" s="33"/>
      <c r="AVV137" s="33"/>
      <c r="AWF137" s="33"/>
      <c r="AWP137" s="33"/>
      <c r="AWZ137" s="33"/>
      <c r="AXJ137" s="33"/>
      <c r="AXT137" s="33"/>
      <c r="AYD137" s="33"/>
      <c r="AYN137" s="33"/>
      <c r="AYX137" s="33"/>
      <c r="AZH137" s="33"/>
      <c r="AZR137" s="33"/>
      <c r="BAB137" s="33"/>
      <c r="BAL137" s="33"/>
      <c r="BAV137" s="33"/>
      <c r="BBF137" s="33"/>
      <c r="BBP137" s="33"/>
      <c r="BBZ137" s="33"/>
      <c r="BCJ137" s="33"/>
      <c r="BCT137" s="33"/>
      <c r="BDD137" s="33"/>
      <c r="BDN137" s="33"/>
      <c r="BDX137" s="33"/>
      <c r="BEH137" s="33"/>
      <c r="BER137" s="33"/>
      <c r="BFB137" s="33"/>
      <c r="BFL137" s="33"/>
      <c r="BFV137" s="33"/>
      <c r="BGF137" s="33"/>
      <c r="BGP137" s="33"/>
      <c r="BGZ137" s="33"/>
      <c r="BHJ137" s="33"/>
      <c r="BHT137" s="33"/>
      <c r="BID137" s="33"/>
      <c r="BIN137" s="33"/>
      <c r="BIX137" s="33"/>
      <c r="BJH137" s="33"/>
      <c r="BJR137" s="33"/>
      <c r="BKB137" s="33"/>
      <c r="BKL137" s="33"/>
      <c r="BKV137" s="33"/>
      <c r="BLF137" s="33"/>
      <c r="BLP137" s="33"/>
      <c r="BLZ137" s="33"/>
      <c r="BMJ137" s="33"/>
      <c r="BMT137" s="33"/>
      <c r="BND137" s="33"/>
      <c r="BNN137" s="33"/>
      <c r="BNX137" s="33"/>
      <c r="BOH137" s="33"/>
      <c r="BOR137" s="33"/>
      <c r="BPB137" s="33"/>
      <c r="BPL137" s="33"/>
      <c r="BPV137" s="33"/>
      <c r="BQF137" s="33"/>
      <c r="BQP137" s="33"/>
      <c r="BQZ137" s="33"/>
      <c r="BRJ137" s="33"/>
      <c r="BRT137" s="33"/>
      <c r="BSD137" s="33"/>
      <c r="BSN137" s="33"/>
      <c r="BSX137" s="33"/>
      <c r="BTH137" s="33"/>
      <c r="BTR137" s="33"/>
      <c r="BUB137" s="33"/>
      <c r="BUL137" s="33"/>
      <c r="BUV137" s="33"/>
      <c r="BVF137" s="33"/>
      <c r="BVP137" s="33"/>
      <c r="BVZ137" s="33"/>
      <c r="BWJ137" s="33"/>
      <c r="BWT137" s="33"/>
      <c r="BXD137" s="33"/>
      <c r="BXN137" s="33"/>
      <c r="BXX137" s="33"/>
      <c r="BYH137" s="33"/>
      <c r="BYR137" s="33"/>
      <c r="BZB137" s="33"/>
      <c r="BZL137" s="33"/>
      <c r="BZV137" s="33"/>
      <c r="CAF137" s="33"/>
      <c r="CAP137" s="33"/>
      <c r="CAZ137" s="33"/>
      <c r="CBJ137" s="33"/>
      <c r="CBT137" s="33"/>
      <c r="CCD137" s="33"/>
      <c r="CCN137" s="33"/>
      <c r="CCX137" s="33"/>
      <c r="CDH137" s="33"/>
      <c r="CDR137" s="33"/>
      <c r="CEB137" s="33"/>
      <c r="CEL137" s="33"/>
      <c r="CEV137" s="33"/>
      <c r="CFF137" s="33"/>
      <c r="CFP137" s="33"/>
      <c r="CFZ137" s="33"/>
      <c r="CGJ137" s="33"/>
      <c r="CGT137" s="33"/>
      <c r="CHD137" s="33"/>
      <c r="CHN137" s="33"/>
      <c r="CHX137" s="33"/>
      <c r="CIH137" s="33"/>
      <c r="CIR137" s="33"/>
      <c r="CJB137" s="33"/>
      <c r="CJL137" s="33"/>
      <c r="CJV137" s="33"/>
      <c r="CKF137" s="33"/>
      <c r="CKP137" s="33"/>
      <c r="CKZ137" s="33"/>
      <c r="CLJ137" s="33"/>
      <c r="CLT137" s="33"/>
      <c r="CMD137" s="33"/>
      <c r="CMN137" s="33"/>
      <c r="CMX137" s="33"/>
      <c r="CNH137" s="33"/>
      <c r="CNR137" s="33"/>
      <c r="COB137" s="33"/>
      <c r="COL137" s="33"/>
      <c r="COV137" s="33"/>
      <c r="CPF137" s="33"/>
      <c r="CPP137" s="33"/>
      <c r="CPZ137" s="33"/>
      <c r="CQJ137" s="33"/>
      <c r="CQT137" s="33"/>
      <c r="CRD137" s="33"/>
      <c r="CRN137" s="33"/>
      <c r="CRX137" s="33"/>
      <c r="CSH137" s="33"/>
      <c r="CSR137" s="33"/>
      <c r="CTB137" s="33"/>
      <c r="CTL137" s="33"/>
      <c r="CTV137" s="33"/>
    </row>
    <row r="138" s="16" customFormat="1" customHeight="1" spans="1:1020 1030:2040 2050:2570">
      <c r="A138" s="57"/>
      <c r="B138" s="52"/>
      <c r="C138" s="52"/>
      <c r="D138" s="52"/>
      <c r="E138" s="52"/>
      <c r="F138" s="58" t="str">
        <f>IFERROR(VLOOKUP(E138,日报!E:G,2,0),"")</f>
        <v/>
      </c>
      <c r="G138" s="52"/>
      <c r="H138" s="53" t="str">
        <f>IFERROR(VLOOKUP(E138,基础数据!$E$4:$H$4,4,0),"")</f>
        <v/>
      </c>
      <c r="I138" s="53" t="str">
        <f>IFERROR(VLOOKUP(E138,基础数据!$E$4:$H$4,3,0),"")</f>
        <v/>
      </c>
      <c r="J138" s="52"/>
      <c r="K138" s="54" t="str">
        <f t="shared" si="2"/>
        <v/>
      </c>
      <c r="T138" s="33"/>
      <c r="AD138" s="33"/>
      <c r="AN138" s="33"/>
      <c r="AX138" s="33"/>
      <c r="BH138" s="33"/>
      <c r="BR138" s="33"/>
      <c r="CB138" s="33"/>
      <c r="CL138" s="33"/>
      <c r="CV138" s="33"/>
      <c r="DF138" s="33"/>
      <c r="DP138" s="33"/>
      <c r="DZ138" s="33"/>
      <c r="EJ138" s="33"/>
      <c r="ET138" s="33"/>
      <c r="FD138" s="33"/>
      <c r="FN138" s="33"/>
      <c r="FX138" s="33"/>
      <c r="GH138" s="33"/>
      <c r="GR138" s="33"/>
      <c r="HB138" s="33"/>
      <c r="HL138" s="33"/>
      <c r="HV138" s="33"/>
      <c r="IF138" s="33"/>
      <c r="IP138" s="33"/>
      <c r="IZ138" s="33"/>
      <c r="JJ138" s="33"/>
      <c r="JT138" s="33"/>
      <c r="KD138" s="33"/>
      <c r="KN138" s="33"/>
      <c r="KX138" s="33"/>
      <c r="LH138" s="33"/>
      <c r="LR138" s="33"/>
      <c r="MB138" s="33"/>
      <c r="ML138" s="33"/>
      <c r="MV138" s="33"/>
      <c r="NF138" s="33"/>
      <c r="NP138" s="33"/>
      <c r="NZ138" s="33"/>
      <c r="OJ138" s="33"/>
      <c r="OT138" s="33"/>
      <c r="PD138" s="33"/>
      <c r="PN138" s="33"/>
      <c r="PX138" s="33"/>
      <c r="QH138" s="33"/>
      <c r="QR138" s="33"/>
      <c r="RB138" s="33"/>
      <c r="RL138" s="33"/>
      <c r="RV138" s="33"/>
      <c r="SF138" s="33"/>
      <c r="SP138" s="33"/>
      <c r="SZ138" s="33"/>
      <c r="TJ138" s="33"/>
      <c r="TT138" s="33"/>
      <c r="UD138" s="33"/>
      <c r="UN138" s="33"/>
      <c r="UX138" s="33"/>
      <c r="VH138" s="33"/>
      <c r="VR138" s="33"/>
      <c r="WB138" s="33"/>
      <c r="WL138" s="33"/>
      <c r="WV138" s="33"/>
      <c r="XF138" s="33"/>
      <c r="XP138" s="33"/>
      <c r="XZ138" s="33"/>
      <c r="YJ138" s="33"/>
      <c r="YT138" s="33"/>
      <c r="ZD138" s="33"/>
      <c r="ZN138" s="33"/>
      <c r="ZX138" s="33"/>
      <c r="AAH138" s="33"/>
      <c r="AAR138" s="33"/>
      <c r="ABB138" s="33"/>
      <c r="ABL138" s="33"/>
      <c r="ABV138" s="33"/>
      <c r="ACF138" s="33"/>
      <c r="ACP138" s="33"/>
      <c r="ACZ138" s="33"/>
      <c r="ADJ138" s="33"/>
      <c r="ADT138" s="33"/>
      <c r="AED138" s="33"/>
      <c r="AEN138" s="33"/>
      <c r="AEX138" s="33"/>
      <c r="AFH138" s="33"/>
      <c r="AFR138" s="33"/>
      <c r="AGB138" s="33"/>
      <c r="AGL138" s="33"/>
      <c r="AGV138" s="33"/>
      <c r="AHF138" s="33"/>
      <c r="AHP138" s="33"/>
      <c r="AHZ138" s="33"/>
      <c r="AIJ138" s="33"/>
      <c r="AIT138" s="33"/>
      <c r="AJD138" s="33"/>
      <c r="AJN138" s="33"/>
      <c r="AJX138" s="33"/>
      <c r="AKH138" s="33"/>
      <c r="AKR138" s="33"/>
      <c r="ALB138" s="33"/>
      <c r="ALL138" s="33"/>
      <c r="ALV138" s="33"/>
      <c r="AMF138" s="33"/>
      <c r="AMP138" s="33"/>
      <c r="AMZ138" s="33"/>
      <c r="ANJ138" s="33"/>
      <c r="ANT138" s="33"/>
      <c r="AOD138" s="33"/>
      <c r="AON138" s="33"/>
      <c r="AOX138" s="33"/>
      <c r="APH138" s="33"/>
      <c r="APR138" s="33"/>
      <c r="AQB138" s="33"/>
      <c r="AQL138" s="33"/>
      <c r="AQV138" s="33"/>
      <c r="ARF138" s="33"/>
      <c r="ARP138" s="33"/>
      <c r="ARZ138" s="33"/>
      <c r="ASJ138" s="33"/>
      <c r="AST138" s="33"/>
      <c r="ATD138" s="33"/>
      <c r="ATN138" s="33"/>
      <c r="ATX138" s="33"/>
      <c r="AUH138" s="33"/>
      <c r="AUR138" s="33"/>
      <c r="AVB138" s="33"/>
      <c r="AVL138" s="33"/>
      <c r="AVV138" s="33"/>
      <c r="AWF138" s="33"/>
      <c r="AWP138" s="33"/>
      <c r="AWZ138" s="33"/>
      <c r="AXJ138" s="33"/>
      <c r="AXT138" s="33"/>
      <c r="AYD138" s="33"/>
      <c r="AYN138" s="33"/>
      <c r="AYX138" s="33"/>
      <c r="AZH138" s="33"/>
      <c r="AZR138" s="33"/>
      <c r="BAB138" s="33"/>
      <c r="BAL138" s="33"/>
      <c r="BAV138" s="33"/>
      <c r="BBF138" s="33"/>
      <c r="BBP138" s="33"/>
      <c r="BBZ138" s="33"/>
      <c r="BCJ138" s="33"/>
      <c r="BCT138" s="33"/>
      <c r="BDD138" s="33"/>
      <c r="BDN138" s="33"/>
      <c r="BDX138" s="33"/>
      <c r="BEH138" s="33"/>
      <c r="BER138" s="33"/>
      <c r="BFB138" s="33"/>
      <c r="BFL138" s="33"/>
      <c r="BFV138" s="33"/>
      <c r="BGF138" s="33"/>
      <c r="BGP138" s="33"/>
      <c r="BGZ138" s="33"/>
      <c r="BHJ138" s="33"/>
      <c r="BHT138" s="33"/>
      <c r="BID138" s="33"/>
      <c r="BIN138" s="33"/>
      <c r="BIX138" s="33"/>
      <c r="BJH138" s="33"/>
      <c r="BJR138" s="33"/>
      <c r="BKB138" s="33"/>
      <c r="BKL138" s="33"/>
      <c r="BKV138" s="33"/>
      <c r="BLF138" s="33"/>
      <c r="BLP138" s="33"/>
      <c r="BLZ138" s="33"/>
      <c r="BMJ138" s="33"/>
      <c r="BMT138" s="33"/>
      <c r="BND138" s="33"/>
      <c r="BNN138" s="33"/>
      <c r="BNX138" s="33"/>
      <c r="BOH138" s="33"/>
      <c r="BOR138" s="33"/>
      <c r="BPB138" s="33"/>
      <c r="BPL138" s="33"/>
      <c r="BPV138" s="33"/>
      <c r="BQF138" s="33"/>
      <c r="BQP138" s="33"/>
      <c r="BQZ138" s="33"/>
      <c r="BRJ138" s="33"/>
      <c r="BRT138" s="33"/>
      <c r="BSD138" s="33"/>
      <c r="BSN138" s="33"/>
      <c r="BSX138" s="33"/>
      <c r="BTH138" s="33"/>
      <c r="BTR138" s="33"/>
      <c r="BUB138" s="33"/>
      <c r="BUL138" s="33"/>
      <c r="BUV138" s="33"/>
      <c r="BVF138" s="33"/>
      <c r="BVP138" s="33"/>
      <c r="BVZ138" s="33"/>
      <c r="BWJ138" s="33"/>
      <c r="BWT138" s="33"/>
      <c r="BXD138" s="33"/>
      <c r="BXN138" s="33"/>
      <c r="BXX138" s="33"/>
      <c r="BYH138" s="33"/>
      <c r="BYR138" s="33"/>
      <c r="BZB138" s="33"/>
      <c r="BZL138" s="33"/>
      <c r="BZV138" s="33"/>
      <c r="CAF138" s="33"/>
      <c r="CAP138" s="33"/>
      <c r="CAZ138" s="33"/>
      <c r="CBJ138" s="33"/>
      <c r="CBT138" s="33"/>
      <c r="CCD138" s="33"/>
      <c r="CCN138" s="33"/>
      <c r="CCX138" s="33"/>
      <c r="CDH138" s="33"/>
      <c r="CDR138" s="33"/>
      <c r="CEB138" s="33"/>
      <c r="CEL138" s="33"/>
      <c r="CEV138" s="33"/>
      <c r="CFF138" s="33"/>
      <c r="CFP138" s="33"/>
      <c r="CFZ138" s="33"/>
      <c r="CGJ138" s="33"/>
      <c r="CGT138" s="33"/>
      <c r="CHD138" s="33"/>
      <c r="CHN138" s="33"/>
      <c r="CHX138" s="33"/>
      <c r="CIH138" s="33"/>
      <c r="CIR138" s="33"/>
      <c r="CJB138" s="33"/>
      <c r="CJL138" s="33"/>
      <c r="CJV138" s="33"/>
      <c r="CKF138" s="33"/>
      <c r="CKP138" s="33"/>
      <c r="CKZ138" s="33"/>
      <c r="CLJ138" s="33"/>
      <c r="CLT138" s="33"/>
      <c r="CMD138" s="33"/>
      <c r="CMN138" s="33"/>
      <c r="CMX138" s="33"/>
      <c r="CNH138" s="33"/>
      <c r="CNR138" s="33"/>
      <c r="COB138" s="33"/>
      <c r="COL138" s="33"/>
      <c r="COV138" s="33"/>
      <c r="CPF138" s="33"/>
      <c r="CPP138" s="33"/>
      <c r="CPZ138" s="33"/>
      <c r="CQJ138" s="33"/>
      <c r="CQT138" s="33"/>
      <c r="CRD138" s="33"/>
      <c r="CRN138" s="33"/>
      <c r="CRX138" s="33"/>
      <c r="CSH138" s="33"/>
      <c r="CSR138" s="33"/>
      <c r="CTB138" s="33"/>
      <c r="CTL138" s="33"/>
      <c r="CTV138" s="33"/>
    </row>
    <row r="139" s="16" customFormat="1" customHeight="1" spans="1:1020 1030:2040 2050:2570">
      <c r="A139" s="57"/>
      <c r="B139" s="52"/>
      <c r="C139" s="52"/>
      <c r="D139" s="52"/>
      <c r="E139" s="52"/>
      <c r="F139" s="58" t="str">
        <f>IFERROR(VLOOKUP(E139,日报!E:G,2,0),"")</f>
        <v/>
      </c>
      <c r="G139" s="52"/>
      <c r="H139" s="53" t="str">
        <f>IFERROR(VLOOKUP(E139,基础数据!$E$4:$H$4,4,0),"")</f>
        <v/>
      </c>
      <c r="I139" s="53" t="str">
        <f>IFERROR(VLOOKUP(E139,基础数据!$E$4:$H$4,3,0),"")</f>
        <v/>
      </c>
      <c r="J139" s="52"/>
      <c r="K139" s="54" t="str">
        <f t="shared" si="2"/>
        <v/>
      </c>
      <c r="T139" s="33"/>
      <c r="AD139" s="33"/>
      <c r="AN139" s="33"/>
      <c r="AX139" s="33"/>
      <c r="BH139" s="33"/>
      <c r="BR139" s="33"/>
      <c r="CB139" s="33"/>
      <c r="CL139" s="33"/>
      <c r="CV139" s="33"/>
      <c r="DF139" s="33"/>
      <c r="DP139" s="33"/>
      <c r="DZ139" s="33"/>
      <c r="EJ139" s="33"/>
      <c r="ET139" s="33"/>
      <c r="FD139" s="33"/>
      <c r="FN139" s="33"/>
      <c r="FX139" s="33"/>
      <c r="GH139" s="33"/>
      <c r="GR139" s="33"/>
      <c r="HB139" s="33"/>
      <c r="HL139" s="33"/>
      <c r="HV139" s="33"/>
      <c r="IF139" s="33"/>
      <c r="IP139" s="33"/>
      <c r="IZ139" s="33"/>
      <c r="JJ139" s="33"/>
      <c r="JT139" s="33"/>
      <c r="KD139" s="33"/>
      <c r="KN139" s="33"/>
      <c r="KX139" s="33"/>
      <c r="LH139" s="33"/>
      <c r="LR139" s="33"/>
      <c r="MB139" s="33"/>
      <c r="ML139" s="33"/>
      <c r="MV139" s="33"/>
      <c r="NF139" s="33"/>
      <c r="NP139" s="33"/>
      <c r="NZ139" s="33"/>
      <c r="OJ139" s="33"/>
      <c r="OT139" s="33"/>
      <c r="PD139" s="33"/>
      <c r="PN139" s="33"/>
      <c r="PX139" s="33"/>
      <c r="QH139" s="33"/>
      <c r="QR139" s="33"/>
      <c r="RB139" s="33"/>
      <c r="RL139" s="33"/>
      <c r="RV139" s="33"/>
      <c r="SF139" s="33"/>
      <c r="SP139" s="33"/>
      <c r="SZ139" s="33"/>
      <c r="TJ139" s="33"/>
      <c r="TT139" s="33"/>
      <c r="UD139" s="33"/>
      <c r="UN139" s="33"/>
      <c r="UX139" s="33"/>
      <c r="VH139" s="33"/>
      <c r="VR139" s="33"/>
      <c r="WB139" s="33"/>
      <c r="WL139" s="33"/>
      <c r="WV139" s="33"/>
      <c r="XF139" s="33"/>
      <c r="XP139" s="33"/>
      <c r="XZ139" s="33"/>
      <c r="YJ139" s="33"/>
      <c r="YT139" s="33"/>
      <c r="ZD139" s="33"/>
      <c r="ZN139" s="33"/>
      <c r="ZX139" s="33"/>
      <c r="AAH139" s="33"/>
      <c r="AAR139" s="33"/>
      <c r="ABB139" s="33"/>
      <c r="ABL139" s="33"/>
      <c r="ABV139" s="33"/>
      <c r="ACF139" s="33"/>
      <c r="ACP139" s="33"/>
      <c r="ACZ139" s="33"/>
      <c r="ADJ139" s="33"/>
      <c r="ADT139" s="33"/>
      <c r="AED139" s="33"/>
      <c r="AEN139" s="33"/>
      <c r="AEX139" s="33"/>
      <c r="AFH139" s="33"/>
      <c r="AFR139" s="33"/>
      <c r="AGB139" s="33"/>
      <c r="AGL139" s="33"/>
      <c r="AGV139" s="33"/>
      <c r="AHF139" s="33"/>
      <c r="AHP139" s="33"/>
      <c r="AHZ139" s="33"/>
      <c r="AIJ139" s="33"/>
      <c r="AIT139" s="33"/>
      <c r="AJD139" s="33"/>
      <c r="AJN139" s="33"/>
      <c r="AJX139" s="33"/>
      <c r="AKH139" s="33"/>
      <c r="AKR139" s="33"/>
      <c r="ALB139" s="33"/>
      <c r="ALL139" s="33"/>
      <c r="ALV139" s="33"/>
      <c r="AMF139" s="33"/>
      <c r="AMP139" s="33"/>
      <c r="AMZ139" s="33"/>
      <c r="ANJ139" s="33"/>
      <c r="ANT139" s="33"/>
      <c r="AOD139" s="33"/>
      <c r="AON139" s="33"/>
      <c r="AOX139" s="33"/>
      <c r="APH139" s="33"/>
      <c r="APR139" s="33"/>
      <c r="AQB139" s="33"/>
      <c r="AQL139" s="33"/>
      <c r="AQV139" s="33"/>
      <c r="ARF139" s="33"/>
      <c r="ARP139" s="33"/>
      <c r="ARZ139" s="33"/>
      <c r="ASJ139" s="33"/>
      <c r="AST139" s="33"/>
      <c r="ATD139" s="33"/>
      <c r="ATN139" s="33"/>
      <c r="ATX139" s="33"/>
      <c r="AUH139" s="33"/>
      <c r="AUR139" s="33"/>
      <c r="AVB139" s="33"/>
      <c r="AVL139" s="33"/>
      <c r="AVV139" s="33"/>
      <c r="AWF139" s="33"/>
      <c r="AWP139" s="33"/>
      <c r="AWZ139" s="33"/>
      <c r="AXJ139" s="33"/>
      <c r="AXT139" s="33"/>
      <c r="AYD139" s="33"/>
      <c r="AYN139" s="33"/>
      <c r="AYX139" s="33"/>
      <c r="AZH139" s="33"/>
      <c r="AZR139" s="33"/>
      <c r="BAB139" s="33"/>
      <c r="BAL139" s="33"/>
      <c r="BAV139" s="33"/>
      <c r="BBF139" s="33"/>
      <c r="BBP139" s="33"/>
      <c r="BBZ139" s="33"/>
      <c r="BCJ139" s="33"/>
      <c r="BCT139" s="33"/>
      <c r="BDD139" s="33"/>
      <c r="BDN139" s="33"/>
      <c r="BDX139" s="33"/>
      <c r="BEH139" s="33"/>
      <c r="BER139" s="33"/>
      <c r="BFB139" s="33"/>
      <c r="BFL139" s="33"/>
      <c r="BFV139" s="33"/>
      <c r="BGF139" s="33"/>
      <c r="BGP139" s="33"/>
      <c r="BGZ139" s="33"/>
      <c r="BHJ139" s="33"/>
      <c r="BHT139" s="33"/>
      <c r="BID139" s="33"/>
      <c r="BIN139" s="33"/>
      <c r="BIX139" s="33"/>
      <c r="BJH139" s="33"/>
      <c r="BJR139" s="33"/>
      <c r="BKB139" s="33"/>
      <c r="BKL139" s="33"/>
      <c r="BKV139" s="33"/>
      <c r="BLF139" s="33"/>
      <c r="BLP139" s="33"/>
      <c r="BLZ139" s="33"/>
      <c r="BMJ139" s="33"/>
      <c r="BMT139" s="33"/>
      <c r="BND139" s="33"/>
      <c r="BNN139" s="33"/>
      <c r="BNX139" s="33"/>
      <c r="BOH139" s="33"/>
      <c r="BOR139" s="33"/>
      <c r="BPB139" s="33"/>
      <c r="BPL139" s="33"/>
      <c r="BPV139" s="33"/>
      <c r="BQF139" s="33"/>
      <c r="BQP139" s="33"/>
      <c r="BQZ139" s="33"/>
      <c r="BRJ139" s="33"/>
      <c r="BRT139" s="33"/>
      <c r="BSD139" s="33"/>
      <c r="BSN139" s="33"/>
      <c r="BSX139" s="33"/>
      <c r="BTH139" s="33"/>
      <c r="BTR139" s="33"/>
      <c r="BUB139" s="33"/>
      <c r="BUL139" s="33"/>
      <c r="BUV139" s="33"/>
      <c r="BVF139" s="33"/>
      <c r="BVP139" s="33"/>
      <c r="BVZ139" s="33"/>
      <c r="BWJ139" s="33"/>
      <c r="BWT139" s="33"/>
      <c r="BXD139" s="33"/>
      <c r="BXN139" s="33"/>
      <c r="BXX139" s="33"/>
      <c r="BYH139" s="33"/>
      <c r="BYR139" s="33"/>
      <c r="BZB139" s="33"/>
      <c r="BZL139" s="33"/>
      <c r="BZV139" s="33"/>
      <c r="CAF139" s="33"/>
      <c r="CAP139" s="33"/>
      <c r="CAZ139" s="33"/>
      <c r="CBJ139" s="33"/>
      <c r="CBT139" s="33"/>
      <c r="CCD139" s="33"/>
      <c r="CCN139" s="33"/>
      <c r="CCX139" s="33"/>
      <c r="CDH139" s="33"/>
      <c r="CDR139" s="33"/>
      <c r="CEB139" s="33"/>
      <c r="CEL139" s="33"/>
      <c r="CEV139" s="33"/>
      <c r="CFF139" s="33"/>
      <c r="CFP139" s="33"/>
      <c r="CFZ139" s="33"/>
      <c r="CGJ139" s="33"/>
      <c r="CGT139" s="33"/>
      <c r="CHD139" s="33"/>
      <c r="CHN139" s="33"/>
      <c r="CHX139" s="33"/>
      <c r="CIH139" s="33"/>
      <c r="CIR139" s="33"/>
      <c r="CJB139" s="33"/>
      <c r="CJL139" s="33"/>
      <c r="CJV139" s="33"/>
      <c r="CKF139" s="33"/>
      <c r="CKP139" s="33"/>
      <c r="CKZ139" s="33"/>
      <c r="CLJ139" s="33"/>
      <c r="CLT139" s="33"/>
      <c r="CMD139" s="33"/>
      <c r="CMN139" s="33"/>
      <c r="CMX139" s="33"/>
      <c r="CNH139" s="33"/>
      <c r="CNR139" s="33"/>
      <c r="COB139" s="33"/>
      <c r="COL139" s="33"/>
      <c r="COV139" s="33"/>
      <c r="CPF139" s="33"/>
      <c r="CPP139" s="33"/>
      <c r="CPZ139" s="33"/>
      <c r="CQJ139" s="33"/>
      <c r="CQT139" s="33"/>
      <c r="CRD139" s="33"/>
      <c r="CRN139" s="33"/>
      <c r="CRX139" s="33"/>
      <c r="CSH139" s="33"/>
      <c r="CSR139" s="33"/>
      <c r="CTB139" s="33"/>
      <c r="CTL139" s="33"/>
      <c r="CTV139" s="33"/>
    </row>
    <row r="140" s="16" customFormat="1" customHeight="1" spans="1:1020 1030:2040 2050:2570">
      <c r="A140" s="57"/>
      <c r="B140" s="52"/>
      <c r="C140" s="52"/>
      <c r="D140" s="52"/>
      <c r="E140" s="52"/>
      <c r="F140" s="58" t="str">
        <f>IFERROR(VLOOKUP(E140,日报!E:G,2,0),"")</f>
        <v/>
      </c>
      <c r="G140" s="52"/>
      <c r="H140" s="53" t="str">
        <f>IFERROR(VLOOKUP(E140,基础数据!$E$4:$H$4,4,0),"")</f>
        <v/>
      </c>
      <c r="I140" s="53" t="str">
        <f>IFERROR(VLOOKUP(E140,基础数据!$E$4:$H$4,3,0),"")</f>
        <v/>
      </c>
      <c r="J140" s="52"/>
      <c r="K140" s="54" t="str">
        <f t="shared" si="2"/>
        <v/>
      </c>
      <c r="T140" s="33"/>
      <c r="AD140" s="33"/>
      <c r="AN140" s="33"/>
      <c r="AX140" s="33"/>
      <c r="BH140" s="33"/>
      <c r="BR140" s="33"/>
      <c r="CB140" s="33"/>
      <c r="CL140" s="33"/>
      <c r="CV140" s="33"/>
      <c r="DF140" s="33"/>
      <c r="DP140" s="33"/>
      <c r="DZ140" s="33"/>
      <c r="EJ140" s="33"/>
      <c r="ET140" s="33"/>
      <c r="FD140" s="33"/>
      <c r="FN140" s="33"/>
      <c r="FX140" s="33"/>
      <c r="GH140" s="33"/>
      <c r="GR140" s="33"/>
      <c r="HB140" s="33"/>
      <c r="HL140" s="33"/>
      <c r="HV140" s="33"/>
      <c r="IF140" s="33"/>
      <c r="IP140" s="33"/>
      <c r="IZ140" s="33"/>
      <c r="JJ140" s="33"/>
      <c r="JT140" s="33"/>
      <c r="KD140" s="33"/>
      <c r="KN140" s="33"/>
      <c r="KX140" s="33"/>
      <c r="LH140" s="33"/>
      <c r="LR140" s="33"/>
      <c r="MB140" s="33"/>
      <c r="ML140" s="33"/>
      <c r="MV140" s="33"/>
      <c r="NF140" s="33"/>
      <c r="NP140" s="33"/>
      <c r="NZ140" s="33"/>
      <c r="OJ140" s="33"/>
      <c r="OT140" s="33"/>
      <c r="PD140" s="33"/>
      <c r="PN140" s="33"/>
      <c r="PX140" s="33"/>
      <c r="QH140" s="33"/>
      <c r="QR140" s="33"/>
      <c r="RB140" s="33"/>
      <c r="RL140" s="33"/>
      <c r="RV140" s="33"/>
      <c r="SF140" s="33"/>
      <c r="SP140" s="33"/>
      <c r="SZ140" s="33"/>
      <c r="TJ140" s="33"/>
      <c r="TT140" s="33"/>
      <c r="UD140" s="33"/>
      <c r="UN140" s="33"/>
      <c r="UX140" s="33"/>
      <c r="VH140" s="33"/>
      <c r="VR140" s="33"/>
      <c r="WB140" s="33"/>
      <c r="WL140" s="33"/>
      <c r="WV140" s="33"/>
      <c r="XF140" s="33"/>
      <c r="XP140" s="33"/>
      <c r="XZ140" s="33"/>
      <c r="YJ140" s="33"/>
      <c r="YT140" s="33"/>
      <c r="ZD140" s="33"/>
      <c r="ZN140" s="33"/>
      <c r="ZX140" s="33"/>
      <c r="AAH140" s="33"/>
      <c r="AAR140" s="33"/>
      <c r="ABB140" s="33"/>
      <c r="ABL140" s="33"/>
      <c r="ABV140" s="33"/>
      <c r="ACF140" s="33"/>
      <c r="ACP140" s="33"/>
      <c r="ACZ140" s="33"/>
      <c r="ADJ140" s="33"/>
      <c r="ADT140" s="33"/>
      <c r="AED140" s="33"/>
      <c r="AEN140" s="33"/>
      <c r="AEX140" s="33"/>
      <c r="AFH140" s="33"/>
      <c r="AFR140" s="33"/>
      <c r="AGB140" s="33"/>
      <c r="AGL140" s="33"/>
      <c r="AGV140" s="33"/>
      <c r="AHF140" s="33"/>
      <c r="AHP140" s="33"/>
      <c r="AHZ140" s="33"/>
      <c r="AIJ140" s="33"/>
      <c r="AIT140" s="33"/>
      <c r="AJD140" s="33"/>
      <c r="AJN140" s="33"/>
      <c r="AJX140" s="33"/>
      <c r="AKH140" s="33"/>
      <c r="AKR140" s="33"/>
      <c r="ALB140" s="33"/>
      <c r="ALL140" s="33"/>
      <c r="ALV140" s="33"/>
      <c r="AMF140" s="33"/>
      <c r="AMP140" s="33"/>
      <c r="AMZ140" s="33"/>
      <c r="ANJ140" s="33"/>
      <c r="ANT140" s="33"/>
      <c r="AOD140" s="33"/>
      <c r="AON140" s="33"/>
      <c r="AOX140" s="33"/>
      <c r="APH140" s="33"/>
      <c r="APR140" s="33"/>
      <c r="AQB140" s="33"/>
      <c r="AQL140" s="33"/>
      <c r="AQV140" s="33"/>
      <c r="ARF140" s="33"/>
      <c r="ARP140" s="33"/>
      <c r="ARZ140" s="33"/>
      <c r="ASJ140" s="33"/>
      <c r="AST140" s="33"/>
      <c r="ATD140" s="33"/>
      <c r="ATN140" s="33"/>
      <c r="ATX140" s="33"/>
      <c r="AUH140" s="33"/>
      <c r="AUR140" s="33"/>
      <c r="AVB140" s="33"/>
      <c r="AVL140" s="33"/>
      <c r="AVV140" s="33"/>
      <c r="AWF140" s="33"/>
      <c r="AWP140" s="33"/>
      <c r="AWZ140" s="33"/>
      <c r="AXJ140" s="33"/>
      <c r="AXT140" s="33"/>
      <c r="AYD140" s="33"/>
      <c r="AYN140" s="33"/>
      <c r="AYX140" s="33"/>
      <c r="AZH140" s="33"/>
      <c r="AZR140" s="33"/>
      <c r="BAB140" s="33"/>
      <c r="BAL140" s="33"/>
      <c r="BAV140" s="33"/>
      <c r="BBF140" s="33"/>
      <c r="BBP140" s="33"/>
      <c r="BBZ140" s="33"/>
      <c r="BCJ140" s="33"/>
      <c r="BCT140" s="33"/>
      <c r="BDD140" s="33"/>
      <c r="BDN140" s="33"/>
      <c r="BDX140" s="33"/>
      <c r="BEH140" s="33"/>
      <c r="BER140" s="33"/>
      <c r="BFB140" s="33"/>
      <c r="BFL140" s="33"/>
      <c r="BFV140" s="33"/>
      <c r="BGF140" s="33"/>
      <c r="BGP140" s="33"/>
      <c r="BGZ140" s="33"/>
      <c r="BHJ140" s="33"/>
      <c r="BHT140" s="33"/>
      <c r="BID140" s="33"/>
      <c r="BIN140" s="33"/>
      <c r="BIX140" s="33"/>
      <c r="BJH140" s="33"/>
      <c r="BJR140" s="33"/>
      <c r="BKB140" s="33"/>
      <c r="BKL140" s="33"/>
      <c r="BKV140" s="33"/>
      <c r="BLF140" s="33"/>
      <c r="BLP140" s="33"/>
      <c r="BLZ140" s="33"/>
      <c r="BMJ140" s="33"/>
      <c r="BMT140" s="33"/>
      <c r="BND140" s="33"/>
      <c r="BNN140" s="33"/>
      <c r="BNX140" s="33"/>
      <c r="BOH140" s="33"/>
      <c r="BOR140" s="33"/>
      <c r="BPB140" s="33"/>
      <c r="BPL140" s="33"/>
      <c r="BPV140" s="33"/>
      <c r="BQF140" s="33"/>
      <c r="BQP140" s="33"/>
      <c r="BQZ140" s="33"/>
      <c r="BRJ140" s="33"/>
      <c r="BRT140" s="33"/>
      <c r="BSD140" s="33"/>
      <c r="BSN140" s="33"/>
      <c r="BSX140" s="33"/>
      <c r="BTH140" s="33"/>
      <c r="BTR140" s="33"/>
      <c r="BUB140" s="33"/>
      <c r="BUL140" s="33"/>
      <c r="BUV140" s="33"/>
      <c r="BVF140" s="33"/>
      <c r="BVP140" s="33"/>
      <c r="BVZ140" s="33"/>
      <c r="BWJ140" s="33"/>
      <c r="BWT140" s="33"/>
      <c r="BXD140" s="33"/>
      <c r="BXN140" s="33"/>
      <c r="BXX140" s="33"/>
      <c r="BYH140" s="33"/>
      <c r="BYR140" s="33"/>
      <c r="BZB140" s="33"/>
      <c r="BZL140" s="33"/>
      <c r="BZV140" s="33"/>
      <c r="CAF140" s="33"/>
      <c r="CAP140" s="33"/>
      <c r="CAZ140" s="33"/>
      <c r="CBJ140" s="33"/>
      <c r="CBT140" s="33"/>
      <c r="CCD140" s="33"/>
      <c r="CCN140" s="33"/>
      <c r="CCX140" s="33"/>
      <c r="CDH140" s="33"/>
      <c r="CDR140" s="33"/>
      <c r="CEB140" s="33"/>
      <c r="CEL140" s="33"/>
      <c r="CEV140" s="33"/>
      <c r="CFF140" s="33"/>
      <c r="CFP140" s="33"/>
      <c r="CFZ140" s="33"/>
      <c r="CGJ140" s="33"/>
      <c r="CGT140" s="33"/>
      <c r="CHD140" s="33"/>
      <c r="CHN140" s="33"/>
      <c r="CHX140" s="33"/>
      <c r="CIH140" s="33"/>
      <c r="CIR140" s="33"/>
      <c r="CJB140" s="33"/>
      <c r="CJL140" s="33"/>
      <c r="CJV140" s="33"/>
      <c r="CKF140" s="33"/>
      <c r="CKP140" s="33"/>
      <c r="CKZ140" s="33"/>
      <c r="CLJ140" s="33"/>
      <c r="CLT140" s="33"/>
      <c r="CMD140" s="33"/>
      <c r="CMN140" s="33"/>
      <c r="CMX140" s="33"/>
      <c r="CNH140" s="33"/>
      <c r="CNR140" s="33"/>
      <c r="COB140" s="33"/>
      <c r="COL140" s="33"/>
      <c r="COV140" s="33"/>
      <c r="CPF140" s="33"/>
      <c r="CPP140" s="33"/>
      <c r="CPZ140" s="33"/>
      <c r="CQJ140" s="33"/>
      <c r="CQT140" s="33"/>
      <c r="CRD140" s="33"/>
      <c r="CRN140" s="33"/>
      <c r="CRX140" s="33"/>
      <c r="CSH140" s="33"/>
      <c r="CSR140" s="33"/>
      <c r="CTB140" s="33"/>
      <c r="CTL140" s="33"/>
      <c r="CTV140" s="33"/>
    </row>
    <row r="141" s="16" customFormat="1" customHeight="1" spans="1:1020 1030:2040 2050:2570">
      <c r="A141" s="57"/>
      <c r="B141" s="52"/>
      <c r="C141" s="52"/>
      <c r="D141" s="52"/>
      <c r="E141" s="52"/>
      <c r="F141" s="58" t="str">
        <f>IFERROR(VLOOKUP(E141,日报!E:G,2,0),"")</f>
        <v/>
      </c>
      <c r="G141" s="52"/>
      <c r="H141" s="53" t="str">
        <f>IFERROR(VLOOKUP(E141,基础数据!$E$4:$H$4,4,0),"")</f>
        <v/>
      </c>
      <c r="I141" s="53" t="str">
        <f>IFERROR(VLOOKUP(E141,基础数据!$E$4:$H$4,3,0),"")</f>
        <v/>
      </c>
      <c r="J141" s="52"/>
      <c r="K141" s="54" t="str">
        <f t="shared" si="2"/>
        <v/>
      </c>
      <c r="T141" s="33"/>
      <c r="AD141" s="33"/>
      <c r="AN141" s="33"/>
      <c r="AX141" s="33"/>
      <c r="BH141" s="33"/>
      <c r="BR141" s="33"/>
      <c r="CB141" s="33"/>
      <c r="CL141" s="33"/>
      <c r="CV141" s="33"/>
      <c r="DF141" s="33"/>
      <c r="DP141" s="33"/>
      <c r="DZ141" s="33"/>
      <c r="EJ141" s="33"/>
      <c r="ET141" s="33"/>
      <c r="FD141" s="33"/>
      <c r="FN141" s="33"/>
      <c r="FX141" s="33"/>
      <c r="GH141" s="33"/>
      <c r="GR141" s="33"/>
      <c r="HB141" s="33"/>
      <c r="HL141" s="33"/>
      <c r="HV141" s="33"/>
      <c r="IF141" s="33"/>
      <c r="IP141" s="33"/>
      <c r="IZ141" s="33"/>
      <c r="JJ141" s="33"/>
      <c r="JT141" s="33"/>
      <c r="KD141" s="33"/>
      <c r="KN141" s="33"/>
      <c r="KX141" s="33"/>
      <c r="LH141" s="33"/>
      <c r="LR141" s="33"/>
      <c r="MB141" s="33"/>
      <c r="ML141" s="33"/>
      <c r="MV141" s="33"/>
      <c r="NF141" s="33"/>
      <c r="NP141" s="33"/>
      <c r="NZ141" s="33"/>
      <c r="OJ141" s="33"/>
      <c r="OT141" s="33"/>
      <c r="PD141" s="33"/>
      <c r="PN141" s="33"/>
      <c r="PX141" s="33"/>
      <c r="QH141" s="33"/>
      <c r="QR141" s="33"/>
      <c r="RB141" s="33"/>
      <c r="RL141" s="33"/>
      <c r="RV141" s="33"/>
      <c r="SF141" s="33"/>
      <c r="SP141" s="33"/>
      <c r="SZ141" s="33"/>
      <c r="TJ141" s="33"/>
      <c r="TT141" s="33"/>
      <c r="UD141" s="33"/>
      <c r="UN141" s="33"/>
      <c r="UX141" s="33"/>
      <c r="VH141" s="33"/>
      <c r="VR141" s="33"/>
      <c r="WB141" s="33"/>
      <c r="WL141" s="33"/>
      <c r="WV141" s="33"/>
      <c r="XF141" s="33"/>
      <c r="XP141" s="33"/>
      <c r="XZ141" s="33"/>
      <c r="YJ141" s="33"/>
      <c r="YT141" s="33"/>
      <c r="ZD141" s="33"/>
      <c r="ZN141" s="33"/>
      <c r="ZX141" s="33"/>
      <c r="AAH141" s="33"/>
      <c r="AAR141" s="33"/>
      <c r="ABB141" s="33"/>
      <c r="ABL141" s="33"/>
      <c r="ABV141" s="33"/>
      <c r="ACF141" s="33"/>
      <c r="ACP141" s="33"/>
      <c r="ACZ141" s="33"/>
      <c r="ADJ141" s="33"/>
      <c r="ADT141" s="33"/>
      <c r="AED141" s="33"/>
      <c r="AEN141" s="33"/>
      <c r="AEX141" s="33"/>
      <c r="AFH141" s="33"/>
      <c r="AFR141" s="33"/>
      <c r="AGB141" s="33"/>
      <c r="AGL141" s="33"/>
      <c r="AGV141" s="33"/>
      <c r="AHF141" s="33"/>
      <c r="AHP141" s="33"/>
      <c r="AHZ141" s="33"/>
      <c r="AIJ141" s="33"/>
      <c r="AIT141" s="33"/>
      <c r="AJD141" s="33"/>
      <c r="AJN141" s="33"/>
      <c r="AJX141" s="33"/>
      <c r="AKH141" s="33"/>
      <c r="AKR141" s="33"/>
      <c r="ALB141" s="33"/>
      <c r="ALL141" s="33"/>
      <c r="ALV141" s="33"/>
      <c r="AMF141" s="33"/>
      <c r="AMP141" s="33"/>
      <c r="AMZ141" s="33"/>
      <c r="ANJ141" s="33"/>
      <c r="ANT141" s="33"/>
      <c r="AOD141" s="33"/>
      <c r="AON141" s="33"/>
      <c r="AOX141" s="33"/>
      <c r="APH141" s="33"/>
      <c r="APR141" s="33"/>
      <c r="AQB141" s="33"/>
      <c r="AQL141" s="33"/>
      <c r="AQV141" s="33"/>
      <c r="ARF141" s="33"/>
      <c r="ARP141" s="33"/>
      <c r="ARZ141" s="33"/>
      <c r="ASJ141" s="33"/>
      <c r="AST141" s="33"/>
      <c r="ATD141" s="33"/>
      <c r="ATN141" s="33"/>
      <c r="ATX141" s="33"/>
      <c r="AUH141" s="33"/>
      <c r="AUR141" s="33"/>
      <c r="AVB141" s="33"/>
      <c r="AVL141" s="33"/>
      <c r="AVV141" s="33"/>
      <c r="AWF141" s="33"/>
      <c r="AWP141" s="33"/>
      <c r="AWZ141" s="33"/>
      <c r="AXJ141" s="33"/>
      <c r="AXT141" s="33"/>
      <c r="AYD141" s="33"/>
      <c r="AYN141" s="33"/>
      <c r="AYX141" s="33"/>
      <c r="AZH141" s="33"/>
      <c r="AZR141" s="33"/>
      <c r="BAB141" s="33"/>
      <c r="BAL141" s="33"/>
      <c r="BAV141" s="33"/>
      <c r="BBF141" s="33"/>
      <c r="BBP141" s="33"/>
      <c r="BBZ141" s="33"/>
      <c r="BCJ141" s="33"/>
      <c r="BCT141" s="33"/>
      <c r="BDD141" s="33"/>
      <c r="BDN141" s="33"/>
      <c r="BDX141" s="33"/>
      <c r="BEH141" s="33"/>
      <c r="BER141" s="33"/>
      <c r="BFB141" s="33"/>
      <c r="BFL141" s="33"/>
      <c r="BFV141" s="33"/>
      <c r="BGF141" s="33"/>
      <c r="BGP141" s="33"/>
      <c r="BGZ141" s="33"/>
      <c r="BHJ141" s="33"/>
      <c r="BHT141" s="33"/>
      <c r="BID141" s="33"/>
      <c r="BIN141" s="33"/>
      <c r="BIX141" s="33"/>
      <c r="BJH141" s="33"/>
      <c r="BJR141" s="33"/>
      <c r="BKB141" s="33"/>
      <c r="BKL141" s="33"/>
      <c r="BKV141" s="33"/>
      <c r="BLF141" s="33"/>
      <c r="BLP141" s="33"/>
      <c r="BLZ141" s="33"/>
      <c r="BMJ141" s="33"/>
      <c r="BMT141" s="33"/>
      <c r="BND141" s="33"/>
      <c r="BNN141" s="33"/>
      <c r="BNX141" s="33"/>
      <c r="BOH141" s="33"/>
      <c r="BOR141" s="33"/>
      <c r="BPB141" s="33"/>
      <c r="BPL141" s="33"/>
      <c r="BPV141" s="33"/>
      <c r="BQF141" s="33"/>
      <c r="BQP141" s="33"/>
      <c r="BQZ141" s="33"/>
      <c r="BRJ141" s="33"/>
      <c r="BRT141" s="33"/>
      <c r="BSD141" s="33"/>
      <c r="BSN141" s="33"/>
      <c r="BSX141" s="33"/>
      <c r="BTH141" s="33"/>
      <c r="BTR141" s="33"/>
      <c r="BUB141" s="33"/>
      <c r="BUL141" s="33"/>
      <c r="BUV141" s="33"/>
      <c r="BVF141" s="33"/>
      <c r="BVP141" s="33"/>
      <c r="BVZ141" s="33"/>
      <c r="BWJ141" s="33"/>
      <c r="BWT141" s="33"/>
      <c r="BXD141" s="33"/>
      <c r="BXN141" s="33"/>
      <c r="BXX141" s="33"/>
      <c r="BYH141" s="33"/>
      <c r="BYR141" s="33"/>
      <c r="BZB141" s="33"/>
      <c r="BZL141" s="33"/>
      <c r="BZV141" s="33"/>
      <c r="CAF141" s="33"/>
      <c r="CAP141" s="33"/>
      <c r="CAZ141" s="33"/>
      <c r="CBJ141" s="33"/>
      <c r="CBT141" s="33"/>
      <c r="CCD141" s="33"/>
      <c r="CCN141" s="33"/>
      <c r="CCX141" s="33"/>
      <c r="CDH141" s="33"/>
      <c r="CDR141" s="33"/>
      <c r="CEB141" s="33"/>
      <c r="CEL141" s="33"/>
      <c r="CEV141" s="33"/>
      <c r="CFF141" s="33"/>
      <c r="CFP141" s="33"/>
      <c r="CFZ141" s="33"/>
      <c r="CGJ141" s="33"/>
      <c r="CGT141" s="33"/>
      <c r="CHD141" s="33"/>
      <c r="CHN141" s="33"/>
      <c r="CHX141" s="33"/>
      <c r="CIH141" s="33"/>
      <c r="CIR141" s="33"/>
      <c r="CJB141" s="33"/>
      <c r="CJL141" s="33"/>
      <c r="CJV141" s="33"/>
      <c r="CKF141" s="33"/>
      <c r="CKP141" s="33"/>
      <c r="CKZ141" s="33"/>
      <c r="CLJ141" s="33"/>
      <c r="CLT141" s="33"/>
      <c r="CMD141" s="33"/>
      <c r="CMN141" s="33"/>
      <c r="CMX141" s="33"/>
      <c r="CNH141" s="33"/>
      <c r="CNR141" s="33"/>
      <c r="COB141" s="33"/>
      <c r="COL141" s="33"/>
      <c r="COV141" s="33"/>
      <c r="CPF141" s="33"/>
      <c r="CPP141" s="33"/>
      <c r="CPZ141" s="33"/>
      <c r="CQJ141" s="33"/>
      <c r="CQT141" s="33"/>
      <c r="CRD141" s="33"/>
      <c r="CRN141" s="33"/>
      <c r="CRX141" s="33"/>
      <c r="CSH141" s="33"/>
      <c r="CSR141" s="33"/>
      <c r="CTB141" s="33"/>
      <c r="CTL141" s="33"/>
      <c r="CTV141" s="33"/>
    </row>
    <row r="142" s="16" customFormat="1" customHeight="1" spans="1:1020 1030:2040 2050:2570">
      <c r="A142" s="57"/>
      <c r="B142" s="52"/>
      <c r="C142" s="52"/>
      <c r="D142" s="52"/>
      <c r="E142" s="52"/>
      <c r="F142" s="58" t="str">
        <f>IFERROR(VLOOKUP(E142,日报!E:G,2,0),"")</f>
        <v/>
      </c>
      <c r="G142" s="52"/>
      <c r="H142" s="53" t="str">
        <f>IFERROR(VLOOKUP(E142,基础数据!$E$4:$H$4,4,0),"")</f>
        <v/>
      </c>
      <c r="I142" s="53" t="str">
        <f>IFERROR(VLOOKUP(E142,基础数据!$E$4:$H$4,3,0),"")</f>
        <v/>
      </c>
      <c r="J142" s="52"/>
      <c r="K142" s="54" t="str">
        <f t="shared" si="2"/>
        <v/>
      </c>
      <c r="T142" s="33"/>
      <c r="AD142" s="33"/>
      <c r="AN142" s="33"/>
      <c r="AX142" s="33"/>
      <c r="BH142" s="33"/>
      <c r="BR142" s="33"/>
      <c r="CB142" s="33"/>
      <c r="CL142" s="33"/>
      <c r="CV142" s="33"/>
      <c r="DF142" s="33"/>
      <c r="DP142" s="33"/>
      <c r="DZ142" s="33"/>
      <c r="EJ142" s="33"/>
      <c r="ET142" s="33"/>
      <c r="FD142" s="33"/>
      <c r="FN142" s="33"/>
      <c r="FX142" s="33"/>
      <c r="GH142" s="33"/>
      <c r="GR142" s="33"/>
      <c r="HB142" s="33"/>
      <c r="HL142" s="33"/>
      <c r="HV142" s="33"/>
      <c r="IF142" s="33"/>
      <c r="IP142" s="33"/>
      <c r="IZ142" s="33"/>
      <c r="JJ142" s="33"/>
      <c r="JT142" s="33"/>
      <c r="KD142" s="33"/>
      <c r="KN142" s="33"/>
      <c r="KX142" s="33"/>
      <c r="LH142" s="33"/>
      <c r="LR142" s="33"/>
      <c r="MB142" s="33"/>
      <c r="ML142" s="33"/>
      <c r="MV142" s="33"/>
      <c r="NF142" s="33"/>
      <c r="NP142" s="33"/>
      <c r="NZ142" s="33"/>
      <c r="OJ142" s="33"/>
      <c r="OT142" s="33"/>
      <c r="PD142" s="33"/>
      <c r="PN142" s="33"/>
      <c r="PX142" s="33"/>
      <c r="QH142" s="33"/>
      <c r="QR142" s="33"/>
      <c r="RB142" s="33"/>
      <c r="RL142" s="33"/>
      <c r="RV142" s="33"/>
      <c r="SF142" s="33"/>
      <c r="SP142" s="33"/>
      <c r="SZ142" s="33"/>
      <c r="TJ142" s="33"/>
      <c r="TT142" s="33"/>
      <c r="UD142" s="33"/>
      <c r="UN142" s="33"/>
      <c r="UX142" s="33"/>
      <c r="VH142" s="33"/>
      <c r="VR142" s="33"/>
      <c r="WB142" s="33"/>
      <c r="WL142" s="33"/>
      <c r="WV142" s="33"/>
      <c r="XF142" s="33"/>
      <c r="XP142" s="33"/>
      <c r="XZ142" s="33"/>
      <c r="YJ142" s="33"/>
      <c r="YT142" s="33"/>
      <c r="ZD142" s="33"/>
      <c r="ZN142" s="33"/>
      <c r="ZX142" s="33"/>
      <c r="AAH142" s="33"/>
      <c r="AAR142" s="33"/>
      <c r="ABB142" s="33"/>
      <c r="ABL142" s="33"/>
      <c r="ABV142" s="33"/>
      <c r="ACF142" s="33"/>
      <c r="ACP142" s="33"/>
      <c r="ACZ142" s="33"/>
      <c r="ADJ142" s="33"/>
      <c r="ADT142" s="33"/>
      <c r="AED142" s="33"/>
      <c r="AEN142" s="33"/>
      <c r="AEX142" s="33"/>
      <c r="AFH142" s="33"/>
      <c r="AFR142" s="33"/>
      <c r="AGB142" s="33"/>
      <c r="AGL142" s="33"/>
      <c r="AGV142" s="33"/>
      <c r="AHF142" s="33"/>
      <c r="AHP142" s="33"/>
      <c r="AHZ142" s="33"/>
      <c r="AIJ142" s="33"/>
      <c r="AIT142" s="33"/>
      <c r="AJD142" s="33"/>
      <c r="AJN142" s="33"/>
      <c r="AJX142" s="33"/>
      <c r="AKH142" s="33"/>
      <c r="AKR142" s="33"/>
      <c r="ALB142" s="33"/>
      <c r="ALL142" s="33"/>
      <c r="ALV142" s="33"/>
      <c r="AMF142" s="33"/>
      <c r="AMP142" s="33"/>
      <c r="AMZ142" s="33"/>
      <c r="ANJ142" s="33"/>
      <c r="ANT142" s="33"/>
      <c r="AOD142" s="33"/>
      <c r="AON142" s="33"/>
      <c r="AOX142" s="33"/>
      <c r="APH142" s="33"/>
      <c r="APR142" s="33"/>
      <c r="AQB142" s="33"/>
      <c r="AQL142" s="33"/>
      <c r="AQV142" s="33"/>
      <c r="ARF142" s="33"/>
      <c r="ARP142" s="33"/>
      <c r="ARZ142" s="33"/>
      <c r="ASJ142" s="33"/>
      <c r="AST142" s="33"/>
      <c r="ATD142" s="33"/>
      <c r="ATN142" s="33"/>
      <c r="ATX142" s="33"/>
      <c r="AUH142" s="33"/>
      <c r="AUR142" s="33"/>
      <c r="AVB142" s="33"/>
      <c r="AVL142" s="33"/>
      <c r="AVV142" s="33"/>
      <c r="AWF142" s="33"/>
      <c r="AWP142" s="33"/>
      <c r="AWZ142" s="33"/>
      <c r="AXJ142" s="33"/>
      <c r="AXT142" s="33"/>
      <c r="AYD142" s="33"/>
      <c r="AYN142" s="33"/>
      <c r="AYX142" s="33"/>
      <c r="AZH142" s="33"/>
      <c r="AZR142" s="33"/>
      <c r="BAB142" s="33"/>
      <c r="BAL142" s="33"/>
      <c r="BAV142" s="33"/>
      <c r="BBF142" s="33"/>
      <c r="BBP142" s="33"/>
      <c r="BBZ142" s="33"/>
      <c r="BCJ142" s="33"/>
      <c r="BCT142" s="33"/>
      <c r="BDD142" s="33"/>
      <c r="BDN142" s="33"/>
      <c r="BDX142" s="33"/>
      <c r="BEH142" s="33"/>
      <c r="BER142" s="33"/>
      <c r="BFB142" s="33"/>
      <c r="BFL142" s="33"/>
      <c r="BFV142" s="33"/>
      <c r="BGF142" s="33"/>
      <c r="BGP142" s="33"/>
      <c r="BGZ142" s="33"/>
      <c r="BHJ142" s="33"/>
      <c r="BHT142" s="33"/>
      <c r="BID142" s="33"/>
      <c r="BIN142" s="33"/>
      <c r="BIX142" s="33"/>
      <c r="BJH142" s="33"/>
      <c r="BJR142" s="33"/>
      <c r="BKB142" s="33"/>
      <c r="BKL142" s="33"/>
      <c r="BKV142" s="33"/>
      <c r="BLF142" s="33"/>
      <c r="BLP142" s="33"/>
      <c r="BLZ142" s="33"/>
      <c r="BMJ142" s="33"/>
      <c r="BMT142" s="33"/>
      <c r="BND142" s="33"/>
      <c r="BNN142" s="33"/>
      <c r="BNX142" s="33"/>
      <c r="BOH142" s="33"/>
      <c r="BOR142" s="33"/>
      <c r="BPB142" s="33"/>
      <c r="BPL142" s="33"/>
      <c r="BPV142" s="33"/>
      <c r="BQF142" s="33"/>
      <c r="BQP142" s="33"/>
      <c r="BQZ142" s="33"/>
      <c r="BRJ142" s="33"/>
      <c r="BRT142" s="33"/>
      <c r="BSD142" s="33"/>
      <c r="BSN142" s="33"/>
      <c r="BSX142" s="33"/>
      <c r="BTH142" s="33"/>
      <c r="BTR142" s="33"/>
      <c r="BUB142" s="33"/>
      <c r="BUL142" s="33"/>
      <c r="BUV142" s="33"/>
      <c r="BVF142" s="33"/>
      <c r="BVP142" s="33"/>
      <c r="BVZ142" s="33"/>
      <c r="BWJ142" s="33"/>
      <c r="BWT142" s="33"/>
      <c r="BXD142" s="33"/>
      <c r="BXN142" s="33"/>
      <c r="BXX142" s="33"/>
      <c r="BYH142" s="33"/>
      <c r="BYR142" s="33"/>
      <c r="BZB142" s="33"/>
      <c r="BZL142" s="33"/>
      <c r="BZV142" s="33"/>
      <c r="CAF142" s="33"/>
      <c r="CAP142" s="33"/>
      <c r="CAZ142" s="33"/>
      <c r="CBJ142" s="33"/>
      <c r="CBT142" s="33"/>
      <c r="CCD142" s="33"/>
      <c r="CCN142" s="33"/>
      <c r="CCX142" s="33"/>
      <c r="CDH142" s="33"/>
      <c r="CDR142" s="33"/>
      <c r="CEB142" s="33"/>
      <c r="CEL142" s="33"/>
      <c r="CEV142" s="33"/>
      <c r="CFF142" s="33"/>
      <c r="CFP142" s="33"/>
      <c r="CFZ142" s="33"/>
      <c r="CGJ142" s="33"/>
      <c r="CGT142" s="33"/>
      <c r="CHD142" s="33"/>
      <c r="CHN142" s="33"/>
      <c r="CHX142" s="33"/>
      <c r="CIH142" s="33"/>
      <c r="CIR142" s="33"/>
      <c r="CJB142" s="33"/>
      <c r="CJL142" s="33"/>
      <c r="CJV142" s="33"/>
      <c r="CKF142" s="33"/>
      <c r="CKP142" s="33"/>
      <c r="CKZ142" s="33"/>
      <c r="CLJ142" s="33"/>
      <c r="CLT142" s="33"/>
      <c r="CMD142" s="33"/>
      <c r="CMN142" s="33"/>
      <c r="CMX142" s="33"/>
      <c r="CNH142" s="33"/>
      <c r="CNR142" s="33"/>
      <c r="COB142" s="33"/>
      <c r="COL142" s="33"/>
      <c r="COV142" s="33"/>
      <c r="CPF142" s="33"/>
      <c r="CPP142" s="33"/>
      <c r="CPZ142" s="33"/>
      <c r="CQJ142" s="33"/>
      <c r="CQT142" s="33"/>
      <c r="CRD142" s="33"/>
      <c r="CRN142" s="33"/>
      <c r="CRX142" s="33"/>
      <c r="CSH142" s="33"/>
      <c r="CSR142" s="33"/>
      <c r="CTB142" s="33"/>
      <c r="CTL142" s="33"/>
      <c r="CTV142" s="33"/>
    </row>
    <row r="143" s="16" customFormat="1" customHeight="1" spans="1:1020 1030:2040 2050:2570">
      <c r="A143" s="57"/>
      <c r="B143" s="52"/>
      <c r="C143" s="52"/>
      <c r="D143" s="52"/>
      <c r="E143" s="52"/>
      <c r="F143" s="58" t="str">
        <f>IFERROR(VLOOKUP(E143,日报!E:G,2,0),"")</f>
        <v/>
      </c>
      <c r="G143" s="52"/>
      <c r="H143" s="53" t="str">
        <f>IFERROR(VLOOKUP(E143,基础数据!$E$4:$H$4,4,0),"")</f>
        <v/>
      </c>
      <c r="I143" s="53" t="str">
        <f>IFERROR(VLOOKUP(E143,基础数据!$E$4:$H$4,3,0),"")</f>
        <v/>
      </c>
      <c r="J143" s="52"/>
      <c r="K143" s="54" t="str">
        <f t="shared" si="2"/>
        <v/>
      </c>
      <c r="T143" s="33"/>
      <c r="AD143" s="33"/>
      <c r="AN143" s="33"/>
      <c r="AX143" s="33"/>
      <c r="BH143" s="33"/>
      <c r="BR143" s="33"/>
      <c r="CB143" s="33"/>
      <c r="CL143" s="33"/>
      <c r="CV143" s="33"/>
      <c r="DF143" s="33"/>
      <c r="DP143" s="33"/>
      <c r="DZ143" s="33"/>
      <c r="EJ143" s="33"/>
      <c r="ET143" s="33"/>
      <c r="FD143" s="33"/>
      <c r="FN143" s="33"/>
      <c r="FX143" s="33"/>
      <c r="GH143" s="33"/>
      <c r="GR143" s="33"/>
      <c r="HB143" s="33"/>
      <c r="HL143" s="33"/>
      <c r="HV143" s="33"/>
      <c r="IF143" s="33"/>
      <c r="IP143" s="33"/>
      <c r="IZ143" s="33"/>
      <c r="JJ143" s="33"/>
      <c r="JT143" s="33"/>
      <c r="KD143" s="33"/>
      <c r="KN143" s="33"/>
      <c r="KX143" s="33"/>
      <c r="LH143" s="33"/>
      <c r="LR143" s="33"/>
      <c r="MB143" s="33"/>
      <c r="ML143" s="33"/>
      <c r="MV143" s="33"/>
      <c r="NF143" s="33"/>
      <c r="NP143" s="33"/>
      <c r="NZ143" s="33"/>
      <c r="OJ143" s="33"/>
      <c r="OT143" s="33"/>
      <c r="PD143" s="33"/>
      <c r="PN143" s="33"/>
      <c r="PX143" s="33"/>
      <c r="QH143" s="33"/>
      <c r="QR143" s="33"/>
      <c r="RB143" s="33"/>
      <c r="RL143" s="33"/>
      <c r="RV143" s="33"/>
      <c r="SF143" s="33"/>
      <c r="SP143" s="33"/>
      <c r="SZ143" s="33"/>
      <c r="TJ143" s="33"/>
      <c r="TT143" s="33"/>
      <c r="UD143" s="33"/>
      <c r="UN143" s="33"/>
      <c r="UX143" s="33"/>
      <c r="VH143" s="33"/>
      <c r="VR143" s="33"/>
      <c r="WB143" s="33"/>
      <c r="WL143" s="33"/>
      <c r="WV143" s="33"/>
      <c r="XF143" s="33"/>
      <c r="XP143" s="33"/>
      <c r="XZ143" s="33"/>
      <c r="YJ143" s="33"/>
      <c r="YT143" s="33"/>
      <c r="ZD143" s="33"/>
      <c r="ZN143" s="33"/>
      <c r="ZX143" s="33"/>
      <c r="AAH143" s="33"/>
      <c r="AAR143" s="33"/>
      <c r="ABB143" s="33"/>
      <c r="ABL143" s="33"/>
      <c r="ABV143" s="33"/>
      <c r="ACF143" s="33"/>
      <c r="ACP143" s="33"/>
      <c r="ACZ143" s="33"/>
      <c r="ADJ143" s="33"/>
      <c r="ADT143" s="33"/>
      <c r="AED143" s="33"/>
      <c r="AEN143" s="33"/>
      <c r="AEX143" s="33"/>
      <c r="AFH143" s="33"/>
      <c r="AFR143" s="33"/>
      <c r="AGB143" s="33"/>
      <c r="AGL143" s="33"/>
      <c r="AGV143" s="33"/>
      <c r="AHF143" s="33"/>
      <c r="AHP143" s="33"/>
      <c r="AHZ143" s="33"/>
      <c r="AIJ143" s="33"/>
      <c r="AIT143" s="33"/>
      <c r="AJD143" s="33"/>
      <c r="AJN143" s="33"/>
      <c r="AJX143" s="33"/>
      <c r="AKH143" s="33"/>
      <c r="AKR143" s="33"/>
      <c r="ALB143" s="33"/>
      <c r="ALL143" s="33"/>
      <c r="ALV143" s="33"/>
      <c r="AMF143" s="33"/>
      <c r="AMP143" s="33"/>
      <c r="AMZ143" s="33"/>
      <c r="ANJ143" s="33"/>
      <c r="ANT143" s="33"/>
      <c r="AOD143" s="33"/>
      <c r="AON143" s="33"/>
      <c r="AOX143" s="33"/>
      <c r="APH143" s="33"/>
      <c r="APR143" s="33"/>
      <c r="AQB143" s="33"/>
      <c r="AQL143" s="33"/>
      <c r="AQV143" s="33"/>
      <c r="ARF143" s="33"/>
      <c r="ARP143" s="33"/>
      <c r="ARZ143" s="33"/>
      <c r="ASJ143" s="33"/>
      <c r="AST143" s="33"/>
      <c r="ATD143" s="33"/>
      <c r="ATN143" s="33"/>
      <c r="ATX143" s="33"/>
      <c r="AUH143" s="33"/>
      <c r="AUR143" s="33"/>
      <c r="AVB143" s="33"/>
      <c r="AVL143" s="33"/>
      <c r="AVV143" s="33"/>
      <c r="AWF143" s="33"/>
      <c r="AWP143" s="33"/>
      <c r="AWZ143" s="33"/>
      <c r="AXJ143" s="33"/>
      <c r="AXT143" s="33"/>
      <c r="AYD143" s="33"/>
      <c r="AYN143" s="33"/>
      <c r="AYX143" s="33"/>
      <c r="AZH143" s="33"/>
      <c r="AZR143" s="33"/>
      <c r="BAB143" s="33"/>
      <c r="BAL143" s="33"/>
      <c r="BAV143" s="33"/>
      <c r="BBF143" s="33"/>
      <c r="BBP143" s="33"/>
      <c r="BBZ143" s="33"/>
      <c r="BCJ143" s="33"/>
      <c r="BCT143" s="33"/>
      <c r="BDD143" s="33"/>
      <c r="BDN143" s="33"/>
      <c r="BDX143" s="33"/>
      <c r="BEH143" s="33"/>
      <c r="BER143" s="33"/>
      <c r="BFB143" s="33"/>
      <c r="BFL143" s="33"/>
      <c r="BFV143" s="33"/>
      <c r="BGF143" s="33"/>
      <c r="BGP143" s="33"/>
      <c r="BGZ143" s="33"/>
      <c r="BHJ143" s="33"/>
      <c r="BHT143" s="33"/>
      <c r="BID143" s="33"/>
      <c r="BIN143" s="33"/>
      <c r="BIX143" s="33"/>
      <c r="BJH143" s="33"/>
      <c r="BJR143" s="33"/>
      <c r="BKB143" s="33"/>
      <c r="BKL143" s="33"/>
      <c r="BKV143" s="33"/>
      <c r="BLF143" s="33"/>
      <c r="BLP143" s="33"/>
      <c r="BLZ143" s="33"/>
      <c r="BMJ143" s="33"/>
      <c r="BMT143" s="33"/>
      <c r="BND143" s="33"/>
      <c r="BNN143" s="33"/>
      <c r="BNX143" s="33"/>
      <c r="BOH143" s="33"/>
      <c r="BOR143" s="33"/>
      <c r="BPB143" s="33"/>
      <c r="BPL143" s="33"/>
      <c r="BPV143" s="33"/>
      <c r="BQF143" s="33"/>
      <c r="BQP143" s="33"/>
      <c r="BQZ143" s="33"/>
      <c r="BRJ143" s="33"/>
      <c r="BRT143" s="33"/>
      <c r="BSD143" s="33"/>
      <c r="BSN143" s="33"/>
      <c r="BSX143" s="33"/>
      <c r="BTH143" s="33"/>
      <c r="BTR143" s="33"/>
      <c r="BUB143" s="33"/>
      <c r="BUL143" s="33"/>
      <c r="BUV143" s="33"/>
      <c r="BVF143" s="33"/>
      <c r="BVP143" s="33"/>
      <c r="BVZ143" s="33"/>
      <c r="BWJ143" s="33"/>
      <c r="BWT143" s="33"/>
      <c r="BXD143" s="33"/>
      <c r="BXN143" s="33"/>
      <c r="BXX143" s="33"/>
      <c r="BYH143" s="33"/>
      <c r="BYR143" s="33"/>
      <c r="BZB143" s="33"/>
      <c r="BZL143" s="33"/>
      <c r="BZV143" s="33"/>
      <c r="CAF143" s="33"/>
      <c r="CAP143" s="33"/>
      <c r="CAZ143" s="33"/>
      <c r="CBJ143" s="33"/>
      <c r="CBT143" s="33"/>
      <c r="CCD143" s="33"/>
      <c r="CCN143" s="33"/>
      <c r="CCX143" s="33"/>
      <c r="CDH143" s="33"/>
      <c r="CDR143" s="33"/>
      <c r="CEB143" s="33"/>
      <c r="CEL143" s="33"/>
      <c r="CEV143" s="33"/>
      <c r="CFF143" s="33"/>
      <c r="CFP143" s="33"/>
      <c r="CFZ143" s="33"/>
      <c r="CGJ143" s="33"/>
      <c r="CGT143" s="33"/>
      <c r="CHD143" s="33"/>
      <c r="CHN143" s="33"/>
      <c r="CHX143" s="33"/>
      <c r="CIH143" s="33"/>
      <c r="CIR143" s="33"/>
      <c r="CJB143" s="33"/>
      <c r="CJL143" s="33"/>
      <c r="CJV143" s="33"/>
      <c r="CKF143" s="33"/>
      <c r="CKP143" s="33"/>
      <c r="CKZ143" s="33"/>
      <c r="CLJ143" s="33"/>
      <c r="CLT143" s="33"/>
      <c r="CMD143" s="33"/>
      <c r="CMN143" s="33"/>
      <c r="CMX143" s="33"/>
      <c r="CNH143" s="33"/>
      <c r="CNR143" s="33"/>
      <c r="COB143" s="33"/>
      <c r="COL143" s="33"/>
      <c r="COV143" s="33"/>
      <c r="CPF143" s="33"/>
      <c r="CPP143" s="33"/>
      <c r="CPZ143" s="33"/>
      <c r="CQJ143" s="33"/>
      <c r="CQT143" s="33"/>
      <c r="CRD143" s="33"/>
      <c r="CRN143" s="33"/>
      <c r="CRX143" s="33"/>
      <c r="CSH143" s="33"/>
      <c r="CSR143" s="33"/>
      <c r="CTB143" s="33"/>
      <c r="CTL143" s="33"/>
      <c r="CTV143" s="33"/>
    </row>
    <row r="144" s="16" customFormat="1" customHeight="1" spans="1:1020 1030:2040 2050:2570">
      <c r="A144" s="57"/>
      <c r="B144" s="52"/>
      <c r="C144" s="52"/>
      <c r="D144" s="52"/>
      <c r="E144" s="52"/>
      <c r="F144" s="58" t="str">
        <f>IFERROR(VLOOKUP(E144,日报!E:G,2,0),"")</f>
        <v/>
      </c>
      <c r="G144" s="52"/>
      <c r="H144" s="53" t="str">
        <f>IFERROR(VLOOKUP(E144,基础数据!$E$4:$H$4,4,0),"")</f>
        <v/>
      </c>
      <c r="I144" s="53" t="str">
        <f>IFERROR(VLOOKUP(E144,基础数据!$E$4:$H$4,3,0),"")</f>
        <v/>
      </c>
      <c r="J144" s="52"/>
      <c r="K144" s="54" t="str">
        <f t="shared" si="2"/>
        <v/>
      </c>
      <c r="T144" s="33"/>
      <c r="AD144" s="33"/>
      <c r="AN144" s="33"/>
      <c r="AX144" s="33"/>
      <c r="BH144" s="33"/>
      <c r="BR144" s="33"/>
      <c r="CB144" s="33"/>
      <c r="CL144" s="33"/>
      <c r="CV144" s="33"/>
      <c r="DF144" s="33"/>
      <c r="DP144" s="33"/>
      <c r="DZ144" s="33"/>
      <c r="EJ144" s="33"/>
      <c r="ET144" s="33"/>
      <c r="FD144" s="33"/>
      <c r="FN144" s="33"/>
      <c r="FX144" s="33"/>
      <c r="GH144" s="33"/>
      <c r="GR144" s="33"/>
      <c r="HB144" s="33"/>
      <c r="HL144" s="33"/>
      <c r="HV144" s="33"/>
      <c r="IF144" s="33"/>
      <c r="IP144" s="33"/>
      <c r="IZ144" s="33"/>
      <c r="JJ144" s="33"/>
      <c r="JT144" s="33"/>
      <c r="KD144" s="33"/>
      <c r="KN144" s="33"/>
      <c r="KX144" s="33"/>
      <c r="LH144" s="33"/>
      <c r="LR144" s="33"/>
      <c r="MB144" s="33"/>
      <c r="ML144" s="33"/>
      <c r="MV144" s="33"/>
      <c r="NF144" s="33"/>
      <c r="NP144" s="33"/>
      <c r="NZ144" s="33"/>
      <c r="OJ144" s="33"/>
      <c r="OT144" s="33"/>
      <c r="PD144" s="33"/>
      <c r="PN144" s="33"/>
      <c r="PX144" s="33"/>
      <c r="QH144" s="33"/>
      <c r="QR144" s="33"/>
      <c r="RB144" s="33"/>
      <c r="RL144" s="33"/>
      <c r="RV144" s="33"/>
      <c r="SF144" s="33"/>
      <c r="SP144" s="33"/>
      <c r="SZ144" s="33"/>
      <c r="TJ144" s="33"/>
      <c r="TT144" s="33"/>
      <c r="UD144" s="33"/>
      <c r="UN144" s="33"/>
      <c r="UX144" s="33"/>
      <c r="VH144" s="33"/>
      <c r="VR144" s="33"/>
      <c r="WB144" s="33"/>
      <c r="WL144" s="33"/>
      <c r="WV144" s="33"/>
      <c r="XF144" s="33"/>
      <c r="XP144" s="33"/>
      <c r="XZ144" s="33"/>
      <c r="YJ144" s="33"/>
      <c r="YT144" s="33"/>
      <c r="ZD144" s="33"/>
      <c r="ZN144" s="33"/>
      <c r="ZX144" s="33"/>
      <c r="AAH144" s="33"/>
      <c r="AAR144" s="33"/>
      <c r="ABB144" s="33"/>
      <c r="ABL144" s="33"/>
      <c r="ABV144" s="33"/>
      <c r="ACF144" s="33"/>
      <c r="ACP144" s="33"/>
      <c r="ACZ144" s="33"/>
      <c r="ADJ144" s="33"/>
      <c r="ADT144" s="33"/>
      <c r="AED144" s="33"/>
      <c r="AEN144" s="33"/>
      <c r="AEX144" s="33"/>
      <c r="AFH144" s="33"/>
      <c r="AFR144" s="33"/>
      <c r="AGB144" s="33"/>
      <c r="AGL144" s="33"/>
      <c r="AGV144" s="33"/>
      <c r="AHF144" s="33"/>
      <c r="AHP144" s="33"/>
      <c r="AHZ144" s="33"/>
      <c r="AIJ144" s="33"/>
      <c r="AIT144" s="33"/>
      <c r="AJD144" s="33"/>
      <c r="AJN144" s="33"/>
      <c r="AJX144" s="33"/>
      <c r="AKH144" s="33"/>
      <c r="AKR144" s="33"/>
      <c r="ALB144" s="33"/>
      <c r="ALL144" s="33"/>
      <c r="ALV144" s="33"/>
      <c r="AMF144" s="33"/>
      <c r="AMP144" s="33"/>
      <c r="AMZ144" s="33"/>
      <c r="ANJ144" s="33"/>
      <c r="ANT144" s="33"/>
      <c r="AOD144" s="33"/>
      <c r="AON144" s="33"/>
      <c r="AOX144" s="33"/>
      <c r="APH144" s="33"/>
      <c r="APR144" s="33"/>
      <c r="AQB144" s="33"/>
      <c r="AQL144" s="33"/>
      <c r="AQV144" s="33"/>
      <c r="ARF144" s="33"/>
      <c r="ARP144" s="33"/>
      <c r="ARZ144" s="33"/>
      <c r="ASJ144" s="33"/>
      <c r="AST144" s="33"/>
      <c r="ATD144" s="33"/>
      <c r="ATN144" s="33"/>
      <c r="ATX144" s="33"/>
      <c r="AUH144" s="33"/>
      <c r="AUR144" s="33"/>
      <c r="AVB144" s="33"/>
      <c r="AVL144" s="33"/>
      <c r="AVV144" s="33"/>
      <c r="AWF144" s="33"/>
      <c r="AWP144" s="33"/>
      <c r="AWZ144" s="33"/>
      <c r="AXJ144" s="33"/>
      <c r="AXT144" s="33"/>
      <c r="AYD144" s="33"/>
      <c r="AYN144" s="33"/>
      <c r="AYX144" s="33"/>
      <c r="AZH144" s="33"/>
      <c r="AZR144" s="33"/>
      <c r="BAB144" s="33"/>
      <c r="BAL144" s="33"/>
      <c r="BAV144" s="33"/>
      <c r="BBF144" s="33"/>
      <c r="BBP144" s="33"/>
      <c r="BBZ144" s="33"/>
      <c r="BCJ144" s="33"/>
      <c r="BCT144" s="33"/>
      <c r="BDD144" s="33"/>
      <c r="BDN144" s="33"/>
      <c r="BDX144" s="33"/>
      <c r="BEH144" s="33"/>
      <c r="BER144" s="33"/>
      <c r="BFB144" s="33"/>
      <c r="BFL144" s="33"/>
      <c r="BFV144" s="33"/>
      <c r="BGF144" s="33"/>
      <c r="BGP144" s="33"/>
      <c r="BGZ144" s="33"/>
      <c r="BHJ144" s="33"/>
      <c r="BHT144" s="33"/>
      <c r="BID144" s="33"/>
      <c r="BIN144" s="33"/>
      <c r="BIX144" s="33"/>
      <c r="BJH144" s="33"/>
      <c r="BJR144" s="33"/>
      <c r="BKB144" s="33"/>
      <c r="BKL144" s="33"/>
      <c r="BKV144" s="33"/>
      <c r="BLF144" s="33"/>
      <c r="BLP144" s="33"/>
      <c r="BLZ144" s="33"/>
      <c r="BMJ144" s="33"/>
      <c r="BMT144" s="33"/>
      <c r="BND144" s="33"/>
      <c r="BNN144" s="33"/>
      <c r="BNX144" s="33"/>
      <c r="BOH144" s="33"/>
      <c r="BOR144" s="33"/>
      <c r="BPB144" s="33"/>
      <c r="BPL144" s="33"/>
      <c r="BPV144" s="33"/>
      <c r="BQF144" s="33"/>
      <c r="BQP144" s="33"/>
      <c r="BQZ144" s="33"/>
      <c r="BRJ144" s="33"/>
      <c r="BRT144" s="33"/>
      <c r="BSD144" s="33"/>
      <c r="BSN144" s="33"/>
      <c r="BSX144" s="33"/>
      <c r="BTH144" s="33"/>
      <c r="BTR144" s="33"/>
      <c r="BUB144" s="33"/>
      <c r="BUL144" s="33"/>
      <c r="BUV144" s="33"/>
      <c r="BVF144" s="33"/>
      <c r="BVP144" s="33"/>
      <c r="BVZ144" s="33"/>
      <c r="BWJ144" s="33"/>
      <c r="BWT144" s="33"/>
      <c r="BXD144" s="33"/>
      <c r="BXN144" s="33"/>
      <c r="BXX144" s="33"/>
      <c r="BYH144" s="33"/>
      <c r="BYR144" s="33"/>
      <c r="BZB144" s="33"/>
      <c r="BZL144" s="33"/>
      <c r="BZV144" s="33"/>
      <c r="CAF144" s="33"/>
      <c r="CAP144" s="33"/>
      <c r="CAZ144" s="33"/>
      <c r="CBJ144" s="33"/>
      <c r="CBT144" s="33"/>
      <c r="CCD144" s="33"/>
      <c r="CCN144" s="33"/>
      <c r="CCX144" s="33"/>
      <c r="CDH144" s="33"/>
      <c r="CDR144" s="33"/>
      <c r="CEB144" s="33"/>
      <c r="CEL144" s="33"/>
      <c r="CEV144" s="33"/>
      <c r="CFF144" s="33"/>
      <c r="CFP144" s="33"/>
      <c r="CFZ144" s="33"/>
      <c r="CGJ144" s="33"/>
      <c r="CGT144" s="33"/>
      <c r="CHD144" s="33"/>
      <c r="CHN144" s="33"/>
      <c r="CHX144" s="33"/>
      <c r="CIH144" s="33"/>
      <c r="CIR144" s="33"/>
      <c r="CJB144" s="33"/>
      <c r="CJL144" s="33"/>
      <c r="CJV144" s="33"/>
      <c r="CKF144" s="33"/>
      <c r="CKP144" s="33"/>
      <c r="CKZ144" s="33"/>
      <c r="CLJ144" s="33"/>
      <c r="CLT144" s="33"/>
      <c r="CMD144" s="33"/>
      <c r="CMN144" s="33"/>
      <c r="CMX144" s="33"/>
      <c r="CNH144" s="33"/>
      <c r="CNR144" s="33"/>
      <c r="COB144" s="33"/>
      <c r="COL144" s="33"/>
      <c r="COV144" s="33"/>
      <c r="CPF144" s="33"/>
      <c r="CPP144" s="33"/>
      <c r="CPZ144" s="33"/>
      <c r="CQJ144" s="33"/>
      <c r="CQT144" s="33"/>
      <c r="CRD144" s="33"/>
      <c r="CRN144" s="33"/>
      <c r="CRX144" s="33"/>
      <c r="CSH144" s="33"/>
      <c r="CSR144" s="33"/>
      <c r="CTB144" s="33"/>
      <c r="CTL144" s="33"/>
      <c r="CTV144" s="33"/>
    </row>
    <row r="145" s="16" customFormat="1" customHeight="1" spans="1:1020 1030:2040 2050:2570">
      <c r="A145" s="57"/>
      <c r="B145" s="52"/>
      <c r="C145" s="52"/>
      <c r="D145" s="52"/>
      <c r="E145" s="52"/>
      <c r="F145" s="58" t="str">
        <f>IFERROR(VLOOKUP(E145,日报!E:G,2,0),"")</f>
        <v/>
      </c>
      <c r="G145" s="52"/>
      <c r="H145" s="53" t="str">
        <f>IFERROR(VLOOKUP(E145,基础数据!$E$4:$H$4,4,0),"")</f>
        <v/>
      </c>
      <c r="I145" s="53" t="str">
        <f>IFERROR(VLOOKUP(E145,基础数据!$E$4:$H$4,3,0),"")</f>
        <v/>
      </c>
      <c r="J145" s="52"/>
      <c r="K145" s="54" t="str">
        <f t="shared" si="2"/>
        <v/>
      </c>
      <c r="T145" s="33"/>
      <c r="AD145" s="33"/>
      <c r="AN145" s="33"/>
      <c r="AX145" s="33"/>
      <c r="BH145" s="33"/>
      <c r="BR145" s="33"/>
      <c r="CB145" s="33"/>
      <c r="CL145" s="33"/>
      <c r="CV145" s="33"/>
      <c r="DF145" s="33"/>
      <c r="DP145" s="33"/>
      <c r="DZ145" s="33"/>
      <c r="EJ145" s="33"/>
      <c r="ET145" s="33"/>
      <c r="FD145" s="33"/>
      <c r="FN145" s="33"/>
      <c r="FX145" s="33"/>
      <c r="GH145" s="33"/>
      <c r="GR145" s="33"/>
      <c r="HB145" s="33"/>
      <c r="HL145" s="33"/>
      <c r="HV145" s="33"/>
      <c r="IF145" s="33"/>
      <c r="IP145" s="33"/>
      <c r="IZ145" s="33"/>
      <c r="JJ145" s="33"/>
      <c r="JT145" s="33"/>
      <c r="KD145" s="33"/>
      <c r="KN145" s="33"/>
      <c r="KX145" s="33"/>
      <c r="LH145" s="33"/>
      <c r="LR145" s="33"/>
      <c r="MB145" s="33"/>
      <c r="ML145" s="33"/>
      <c r="MV145" s="33"/>
      <c r="NF145" s="33"/>
      <c r="NP145" s="33"/>
      <c r="NZ145" s="33"/>
      <c r="OJ145" s="33"/>
      <c r="OT145" s="33"/>
      <c r="PD145" s="33"/>
      <c r="PN145" s="33"/>
      <c r="PX145" s="33"/>
      <c r="QH145" s="33"/>
      <c r="QR145" s="33"/>
      <c r="RB145" s="33"/>
      <c r="RL145" s="33"/>
      <c r="RV145" s="33"/>
      <c r="SF145" s="33"/>
      <c r="SP145" s="33"/>
      <c r="SZ145" s="33"/>
      <c r="TJ145" s="33"/>
      <c r="TT145" s="33"/>
      <c r="UD145" s="33"/>
      <c r="UN145" s="33"/>
      <c r="UX145" s="33"/>
      <c r="VH145" s="33"/>
      <c r="VR145" s="33"/>
      <c r="WB145" s="33"/>
      <c r="WL145" s="33"/>
      <c r="WV145" s="33"/>
      <c r="XF145" s="33"/>
      <c r="XP145" s="33"/>
      <c r="XZ145" s="33"/>
      <c r="YJ145" s="33"/>
      <c r="YT145" s="33"/>
      <c r="ZD145" s="33"/>
      <c r="ZN145" s="33"/>
      <c r="ZX145" s="33"/>
      <c r="AAH145" s="33"/>
      <c r="AAR145" s="33"/>
      <c r="ABB145" s="33"/>
      <c r="ABL145" s="33"/>
      <c r="ABV145" s="33"/>
      <c r="ACF145" s="33"/>
      <c r="ACP145" s="33"/>
      <c r="ACZ145" s="33"/>
      <c r="ADJ145" s="33"/>
      <c r="ADT145" s="33"/>
      <c r="AED145" s="33"/>
      <c r="AEN145" s="33"/>
      <c r="AEX145" s="33"/>
      <c r="AFH145" s="33"/>
      <c r="AFR145" s="33"/>
      <c r="AGB145" s="33"/>
      <c r="AGL145" s="33"/>
      <c r="AGV145" s="33"/>
      <c r="AHF145" s="33"/>
      <c r="AHP145" s="33"/>
      <c r="AHZ145" s="33"/>
      <c r="AIJ145" s="33"/>
      <c r="AIT145" s="33"/>
      <c r="AJD145" s="33"/>
      <c r="AJN145" s="33"/>
      <c r="AJX145" s="33"/>
      <c r="AKH145" s="33"/>
      <c r="AKR145" s="33"/>
      <c r="ALB145" s="33"/>
      <c r="ALL145" s="33"/>
      <c r="ALV145" s="33"/>
      <c r="AMF145" s="33"/>
      <c r="AMP145" s="33"/>
      <c r="AMZ145" s="33"/>
      <c r="ANJ145" s="33"/>
      <c r="ANT145" s="33"/>
      <c r="AOD145" s="33"/>
      <c r="AON145" s="33"/>
      <c r="AOX145" s="33"/>
      <c r="APH145" s="33"/>
      <c r="APR145" s="33"/>
      <c r="AQB145" s="33"/>
      <c r="AQL145" s="33"/>
      <c r="AQV145" s="33"/>
      <c r="ARF145" s="33"/>
      <c r="ARP145" s="33"/>
      <c r="ARZ145" s="33"/>
      <c r="ASJ145" s="33"/>
      <c r="AST145" s="33"/>
      <c r="ATD145" s="33"/>
      <c r="ATN145" s="33"/>
      <c r="ATX145" s="33"/>
      <c r="AUH145" s="33"/>
      <c r="AUR145" s="33"/>
      <c r="AVB145" s="33"/>
      <c r="AVL145" s="33"/>
      <c r="AVV145" s="33"/>
      <c r="AWF145" s="33"/>
      <c r="AWP145" s="33"/>
      <c r="AWZ145" s="33"/>
      <c r="AXJ145" s="33"/>
      <c r="AXT145" s="33"/>
      <c r="AYD145" s="33"/>
      <c r="AYN145" s="33"/>
      <c r="AYX145" s="33"/>
      <c r="AZH145" s="33"/>
      <c r="AZR145" s="33"/>
      <c r="BAB145" s="33"/>
      <c r="BAL145" s="33"/>
      <c r="BAV145" s="33"/>
      <c r="BBF145" s="33"/>
      <c r="BBP145" s="33"/>
      <c r="BBZ145" s="33"/>
      <c r="BCJ145" s="33"/>
      <c r="BCT145" s="33"/>
      <c r="BDD145" s="33"/>
      <c r="BDN145" s="33"/>
      <c r="BDX145" s="33"/>
      <c r="BEH145" s="33"/>
      <c r="BER145" s="33"/>
      <c r="BFB145" s="33"/>
      <c r="BFL145" s="33"/>
      <c r="BFV145" s="33"/>
      <c r="BGF145" s="33"/>
      <c r="BGP145" s="33"/>
      <c r="BGZ145" s="33"/>
      <c r="BHJ145" s="33"/>
      <c r="BHT145" s="33"/>
      <c r="BID145" s="33"/>
      <c r="BIN145" s="33"/>
      <c r="BIX145" s="33"/>
      <c r="BJH145" s="33"/>
      <c r="BJR145" s="33"/>
      <c r="BKB145" s="33"/>
      <c r="BKL145" s="33"/>
      <c r="BKV145" s="33"/>
      <c r="BLF145" s="33"/>
      <c r="BLP145" s="33"/>
      <c r="BLZ145" s="33"/>
      <c r="BMJ145" s="33"/>
      <c r="BMT145" s="33"/>
      <c r="BND145" s="33"/>
      <c r="BNN145" s="33"/>
      <c r="BNX145" s="33"/>
      <c r="BOH145" s="33"/>
      <c r="BOR145" s="33"/>
      <c r="BPB145" s="33"/>
      <c r="BPL145" s="33"/>
      <c r="BPV145" s="33"/>
      <c r="BQF145" s="33"/>
      <c r="BQP145" s="33"/>
      <c r="BQZ145" s="33"/>
      <c r="BRJ145" s="33"/>
      <c r="BRT145" s="33"/>
      <c r="BSD145" s="33"/>
      <c r="BSN145" s="33"/>
      <c r="BSX145" s="33"/>
      <c r="BTH145" s="33"/>
      <c r="BTR145" s="33"/>
      <c r="BUB145" s="33"/>
      <c r="BUL145" s="33"/>
      <c r="BUV145" s="33"/>
      <c r="BVF145" s="33"/>
      <c r="BVP145" s="33"/>
      <c r="BVZ145" s="33"/>
      <c r="BWJ145" s="33"/>
      <c r="BWT145" s="33"/>
      <c r="BXD145" s="33"/>
      <c r="BXN145" s="33"/>
      <c r="BXX145" s="33"/>
      <c r="BYH145" s="33"/>
      <c r="BYR145" s="33"/>
      <c r="BZB145" s="33"/>
      <c r="BZL145" s="33"/>
      <c r="BZV145" s="33"/>
      <c r="CAF145" s="33"/>
      <c r="CAP145" s="33"/>
      <c r="CAZ145" s="33"/>
      <c r="CBJ145" s="33"/>
      <c r="CBT145" s="33"/>
      <c r="CCD145" s="33"/>
      <c r="CCN145" s="33"/>
      <c r="CCX145" s="33"/>
      <c r="CDH145" s="33"/>
      <c r="CDR145" s="33"/>
      <c r="CEB145" s="33"/>
      <c r="CEL145" s="33"/>
      <c r="CEV145" s="33"/>
      <c r="CFF145" s="33"/>
      <c r="CFP145" s="33"/>
      <c r="CFZ145" s="33"/>
      <c r="CGJ145" s="33"/>
      <c r="CGT145" s="33"/>
      <c r="CHD145" s="33"/>
      <c r="CHN145" s="33"/>
      <c r="CHX145" s="33"/>
      <c r="CIH145" s="33"/>
      <c r="CIR145" s="33"/>
      <c r="CJB145" s="33"/>
      <c r="CJL145" s="33"/>
      <c r="CJV145" s="33"/>
      <c r="CKF145" s="33"/>
      <c r="CKP145" s="33"/>
      <c r="CKZ145" s="33"/>
      <c r="CLJ145" s="33"/>
      <c r="CLT145" s="33"/>
      <c r="CMD145" s="33"/>
      <c r="CMN145" s="33"/>
      <c r="CMX145" s="33"/>
      <c r="CNH145" s="33"/>
      <c r="CNR145" s="33"/>
      <c r="COB145" s="33"/>
      <c r="COL145" s="33"/>
      <c r="COV145" s="33"/>
      <c r="CPF145" s="33"/>
      <c r="CPP145" s="33"/>
      <c r="CPZ145" s="33"/>
      <c r="CQJ145" s="33"/>
      <c r="CQT145" s="33"/>
      <c r="CRD145" s="33"/>
      <c r="CRN145" s="33"/>
      <c r="CRX145" s="33"/>
      <c r="CSH145" s="33"/>
      <c r="CSR145" s="33"/>
      <c r="CTB145" s="33"/>
      <c r="CTL145" s="33"/>
      <c r="CTV145" s="33"/>
    </row>
    <row r="146" s="16" customFormat="1" customHeight="1" spans="1:1020 1030:2040 2050:2570">
      <c r="A146" s="57"/>
      <c r="B146" s="52"/>
      <c r="C146" s="52"/>
      <c r="D146" s="52"/>
      <c r="E146" s="52"/>
      <c r="F146" s="58" t="str">
        <f>IFERROR(VLOOKUP(E146,日报!E:G,2,0),"")</f>
        <v/>
      </c>
      <c r="G146" s="52"/>
      <c r="H146" s="53" t="str">
        <f>IFERROR(VLOOKUP(E146,基础数据!$E$4:$H$4,4,0),"")</f>
        <v/>
      </c>
      <c r="I146" s="53" t="str">
        <f>IFERROR(VLOOKUP(E146,基础数据!$E$4:$H$4,3,0),"")</f>
        <v/>
      </c>
      <c r="J146" s="52"/>
      <c r="K146" s="54" t="str">
        <f t="shared" si="2"/>
        <v/>
      </c>
      <c r="T146" s="33"/>
      <c r="AD146" s="33"/>
      <c r="AN146" s="33"/>
      <c r="AX146" s="33"/>
      <c r="BH146" s="33"/>
      <c r="BR146" s="33"/>
      <c r="CB146" s="33"/>
      <c r="CL146" s="33"/>
      <c r="CV146" s="33"/>
      <c r="DF146" s="33"/>
      <c r="DP146" s="33"/>
      <c r="DZ146" s="33"/>
      <c r="EJ146" s="33"/>
      <c r="ET146" s="33"/>
      <c r="FD146" s="33"/>
      <c r="FN146" s="33"/>
      <c r="FX146" s="33"/>
      <c r="GH146" s="33"/>
      <c r="GR146" s="33"/>
      <c r="HB146" s="33"/>
      <c r="HL146" s="33"/>
      <c r="HV146" s="33"/>
      <c r="IF146" s="33"/>
      <c r="IP146" s="33"/>
      <c r="IZ146" s="33"/>
      <c r="JJ146" s="33"/>
      <c r="JT146" s="33"/>
      <c r="KD146" s="33"/>
      <c r="KN146" s="33"/>
      <c r="KX146" s="33"/>
      <c r="LH146" s="33"/>
      <c r="LR146" s="33"/>
      <c r="MB146" s="33"/>
      <c r="ML146" s="33"/>
      <c r="MV146" s="33"/>
      <c r="NF146" s="33"/>
      <c r="NP146" s="33"/>
      <c r="NZ146" s="33"/>
      <c r="OJ146" s="33"/>
      <c r="OT146" s="33"/>
      <c r="PD146" s="33"/>
      <c r="PN146" s="33"/>
      <c r="PX146" s="33"/>
      <c r="QH146" s="33"/>
      <c r="QR146" s="33"/>
      <c r="RB146" s="33"/>
      <c r="RL146" s="33"/>
      <c r="RV146" s="33"/>
      <c r="SF146" s="33"/>
      <c r="SP146" s="33"/>
      <c r="SZ146" s="33"/>
      <c r="TJ146" s="33"/>
      <c r="TT146" s="33"/>
      <c r="UD146" s="33"/>
      <c r="UN146" s="33"/>
      <c r="UX146" s="33"/>
      <c r="VH146" s="33"/>
      <c r="VR146" s="33"/>
      <c r="WB146" s="33"/>
      <c r="WL146" s="33"/>
      <c r="WV146" s="33"/>
      <c r="XF146" s="33"/>
      <c r="XP146" s="33"/>
      <c r="XZ146" s="33"/>
      <c r="YJ146" s="33"/>
      <c r="YT146" s="33"/>
      <c r="ZD146" s="33"/>
      <c r="ZN146" s="33"/>
      <c r="ZX146" s="33"/>
      <c r="AAH146" s="33"/>
      <c r="AAR146" s="33"/>
      <c r="ABB146" s="33"/>
      <c r="ABL146" s="33"/>
      <c r="ABV146" s="33"/>
      <c r="ACF146" s="33"/>
      <c r="ACP146" s="33"/>
      <c r="ACZ146" s="33"/>
      <c r="ADJ146" s="33"/>
      <c r="ADT146" s="33"/>
      <c r="AED146" s="33"/>
      <c r="AEN146" s="33"/>
      <c r="AEX146" s="33"/>
      <c r="AFH146" s="33"/>
      <c r="AFR146" s="33"/>
      <c r="AGB146" s="33"/>
      <c r="AGL146" s="33"/>
      <c r="AGV146" s="33"/>
      <c r="AHF146" s="33"/>
      <c r="AHP146" s="33"/>
      <c r="AHZ146" s="33"/>
      <c r="AIJ146" s="33"/>
      <c r="AIT146" s="33"/>
      <c r="AJD146" s="33"/>
      <c r="AJN146" s="33"/>
      <c r="AJX146" s="33"/>
      <c r="AKH146" s="33"/>
      <c r="AKR146" s="33"/>
      <c r="ALB146" s="33"/>
      <c r="ALL146" s="33"/>
      <c r="ALV146" s="33"/>
      <c r="AMF146" s="33"/>
      <c r="AMP146" s="33"/>
      <c r="AMZ146" s="33"/>
      <c r="ANJ146" s="33"/>
      <c r="ANT146" s="33"/>
      <c r="AOD146" s="33"/>
      <c r="AON146" s="33"/>
      <c r="AOX146" s="33"/>
      <c r="APH146" s="33"/>
      <c r="APR146" s="33"/>
      <c r="AQB146" s="33"/>
      <c r="AQL146" s="33"/>
      <c r="AQV146" s="33"/>
      <c r="ARF146" s="33"/>
      <c r="ARP146" s="33"/>
      <c r="ARZ146" s="33"/>
      <c r="ASJ146" s="33"/>
      <c r="AST146" s="33"/>
      <c r="ATD146" s="33"/>
      <c r="ATN146" s="33"/>
      <c r="ATX146" s="33"/>
      <c r="AUH146" s="33"/>
      <c r="AUR146" s="33"/>
      <c r="AVB146" s="33"/>
      <c r="AVL146" s="33"/>
      <c r="AVV146" s="33"/>
      <c r="AWF146" s="33"/>
      <c r="AWP146" s="33"/>
      <c r="AWZ146" s="33"/>
      <c r="AXJ146" s="33"/>
      <c r="AXT146" s="33"/>
      <c r="AYD146" s="33"/>
      <c r="AYN146" s="33"/>
      <c r="AYX146" s="33"/>
      <c r="AZH146" s="33"/>
      <c r="AZR146" s="33"/>
      <c r="BAB146" s="33"/>
      <c r="BAL146" s="33"/>
      <c r="BAV146" s="33"/>
      <c r="BBF146" s="33"/>
      <c r="BBP146" s="33"/>
      <c r="BBZ146" s="33"/>
      <c r="BCJ146" s="33"/>
      <c r="BCT146" s="33"/>
      <c r="BDD146" s="33"/>
      <c r="BDN146" s="33"/>
      <c r="BDX146" s="33"/>
      <c r="BEH146" s="33"/>
      <c r="BER146" s="33"/>
      <c r="BFB146" s="33"/>
      <c r="BFL146" s="33"/>
      <c r="BFV146" s="33"/>
      <c r="BGF146" s="33"/>
      <c r="BGP146" s="33"/>
      <c r="BGZ146" s="33"/>
      <c r="BHJ146" s="33"/>
      <c r="BHT146" s="33"/>
      <c r="BID146" s="33"/>
      <c r="BIN146" s="33"/>
      <c r="BIX146" s="33"/>
      <c r="BJH146" s="33"/>
      <c r="BJR146" s="33"/>
      <c r="BKB146" s="33"/>
      <c r="BKL146" s="33"/>
      <c r="BKV146" s="33"/>
      <c r="BLF146" s="33"/>
      <c r="BLP146" s="33"/>
      <c r="BLZ146" s="33"/>
      <c r="BMJ146" s="33"/>
      <c r="BMT146" s="33"/>
      <c r="BND146" s="33"/>
      <c r="BNN146" s="33"/>
      <c r="BNX146" s="33"/>
      <c r="BOH146" s="33"/>
      <c r="BOR146" s="33"/>
      <c r="BPB146" s="33"/>
      <c r="BPL146" s="33"/>
      <c r="BPV146" s="33"/>
      <c r="BQF146" s="33"/>
      <c r="BQP146" s="33"/>
      <c r="BQZ146" s="33"/>
      <c r="BRJ146" s="33"/>
      <c r="BRT146" s="33"/>
      <c r="BSD146" s="33"/>
      <c r="BSN146" s="33"/>
      <c r="BSX146" s="33"/>
      <c r="BTH146" s="33"/>
      <c r="BTR146" s="33"/>
      <c r="BUB146" s="33"/>
      <c r="BUL146" s="33"/>
      <c r="BUV146" s="33"/>
      <c r="BVF146" s="33"/>
      <c r="BVP146" s="33"/>
      <c r="BVZ146" s="33"/>
      <c r="BWJ146" s="33"/>
      <c r="BWT146" s="33"/>
      <c r="BXD146" s="33"/>
      <c r="BXN146" s="33"/>
      <c r="BXX146" s="33"/>
      <c r="BYH146" s="33"/>
      <c r="BYR146" s="33"/>
      <c r="BZB146" s="33"/>
      <c r="BZL146" s="33"/>
      <c r="BZV146" s="33"/>
      <c r="CAF146" s="33"/>
      <c r="CAP146" s="33"/>
      <c r="CAZ146" s="33"/>
      <c r="CBJ146" s="33"/>
      <c r="CBT146" s="33"/>
      <c r="CCD146" s="33"/>
      <c r="CCN146" s="33"/>
      <c r="CCX146" s="33"/>
      <c r="CDH146" s="33"/>
      <c r="CDR146" s="33"/>
      <c r="CEB146" s="33"/>
      <c r="CEL146" s="33"/>
      <c r="CEV146" s="33"/>
      <c r="CFF146" s="33"/>
      <c r="CFP146" s="33"/>
      <c r="CFZ146" s="33"/>
      <c r="CGJ146" s="33"/>
      <c r="CGT146" s="33"/>
      <c r="CHD146" s="33"/>
      <c r="CHN146" s="33"/>
      <c r="CHX146" s="33"/>
      <c r="CIH146" s="33"/>
      <c r="CIR146" s="33"/>
      <c r="CJB146" s="33"/>
      <c r="CJL146" s="33"/>
      <c r="CJV146" s="33"/>
      <c r="CKF146" s="33"/>
      <c r="CKP146" s="33"/>
      <c r="CKZ146" s="33"/>
      <c r="CLJ146" s="33"/>
      <c r="CLT146" s="33"/>
      <c r="CMD146" s="33"/>
      <c r="CMN146" s="33"/>
      <c r="CMX146" s="33"/>
      <c r="CNH146" s="33"/>
      <c r="CNR146" s="33"/>
      <c r="COB146" s="33"/>
      <c r="COL146" s="33"/>
      <c r="COV146" s="33"/>
      <c r="CPF146" s="33"/>
      <c r="CPP146" s="33"/>
      <c r="CPZ146" s="33"/>
      <c r="CQJ146" s="33"/>
      <c r="CQT146" s="33"/>
      <c r="CRD146" s="33"/>
      <c r="CRN146" s="33"/>
      <c r="CRX146" s="33"/>
      <c r="CSH146" s="33"/>
      <c r="CSR146" s="33"/>
      <c r="CTB146" s="33"/>
      <c r="CTL146" s="33"/>
      <c r="CTV146" s="33"/>
    </row>
    <row r="147" s="16" customFormat="1" customHeight="1" spans="1:1020 1030:2040 2050:2570">
      <c r="A147" s="57"/>
      <c r="B147" s="52"/>
      <c r="C147" s="52"/>
      <c r="D147" s="52"/>
      <c r="E147" s="52"/>
      <c r="F147" s="58" t="str">
        <f>IFERROR(VLOOKUP(E147,日报!E:G,2,0),"")</f>
        <v/>
      </c>
      <c r="G147" s="52"/>
      <c r="H147" s="53" t="str">
        <f>IFERROR(VLOOKUP(E147,基础数据!$E$4:$H$4,4,0),"")</f>
        <v/>
      </c>
      <c r="I147" s="53" t="str">
        <f>IFERROR(VLOOKUP(E147,基础数据!$E$4:$H$4,3,0),"")</f>
        <v/>
      </c>
      <c r="J147" s="52"/>
      <c r="K147" s="54" t="str">
        <f t="shared" si="2"/>
        <v/>
      </c>
      <c r="T147" s="33"/>
      <c r="AD147" s="33"/>
      <c r="AN147" s="33"/>
      <c r="AX147" s="33"/>
      <c r="BH147" s="33"/>
      <c r="BR147" s="33"/>
      <c r="CB147" s="33"/>
      <c r="CL147" s="33"/>
      <c r="CV147" s="33"/>
      <c r="DF147" s="33"/>
      <c r="DP147" s="33"/>
      <c r="DZ147" s="33"/>
      <c r="EJ147" s="33"/>
      <c r="ET147" s="33"/>
      <c r="FD147" s="33"/>
      <c r="FN147" s="33"/>
      <c r="FX147" s="33"/>
      <c r="GH147" s="33"/>
      <c r="GR147" s="33"/>
      <c r="HB147" s="33"/>
      <c r="HL147" s="33"/>
      <c r="HV147" s="33"/>
      <c r="IF147" s="33"/>
      <c r="IP147" s="33"/>
      <c r="IZ147" s="33"/>
      <c r="JJ147" s="33"/>
      <c r="JT147" s="33"/>
      <c r="KD147" s="33"/>
      <c r="KN147" s="33"/>
      <c r="KX147" s="33"/>
      <c r="LH147" s="33"/>
      <c r="LR147" s="33"/>
      <c r="MB147" s="33"/>
      <c r="ML147" s="33"/>
      <c r="MV147" s="33"/>
      <c r="NF147" s="33"/>
      <c r="NP147" s="33"/>
      <c r="NZ147" s="33"/>
      <c r="OJ147" s="33"/>
      <c r="OT147" s="33"/>
      <c r="PD147" s="33"/>
      <c r="PN147" s="33"/>
      <c r="PX147" s="33"/>
      <c r="QH147" s="33"/>
      <c r="QR147" s="33"/>
      <c r="RB147" s="33"/>
      <c r="RL147" s="33"/>
      <c r="RV147" s="33"/>
      <c r="SF147" s="33"/>
      <c r="SP147" s="33"/>
      <c r="SZ147" s="33"/>
      <c r="TJ147" s="33"/>
      <c r="TT147" s="33"/>
      <c r="UD147" s="33"/>
      <c r="UN147" s="33"/>
      <c r="UX147" s="33"/>
      <c r="VH147" s="33"/>
      <c r="VR147" s="33"/>
      <c r="WB147" s="33"/>
      <c r="WL147" s="33"/>
      <c r="WV147" s="33"/>
      <c r="XF147" s="33"/>
      <c r="XP147" s="33"/>
      <c r="XZ147" s="33"/>
      <c r="YJ147" s="33"/>
      <c r="YT147" s="33"/>
      <c r="ZD147" s="33"/>
      <c r="ZN147" s="33"/>
      <c r="ZX147" s="33"/>
      <c r="AAH147" s="33"/>
      <c r="AAR147" s="33"/>
      <c r="ABB147" s="33"/>
      <c r="ABL147" s="33"/>
      <c r="ABV147" s="33"/>
      <c r="ACF147" s="33"/>
      <c r="ACP147" s="33"/>
      <c r="ACZ147" s="33"/>
      <c r="ADJ147" s="33"/>
      <c r="ADT147" s="33"/>
      <c r="AED147" s="33"/>
      <c r="AEN147" s="33"/>
      <c r="AEX147" s="33"/>
      <c r="AFH147" s="33"/>
      <c r="AFR147" s="33"/>
      <c r="AGB147" s="33"/>
      <c r="AGL147" s="33"/>
      <c r="AGV147" s="33"/>
      <c r="AHF147" s="33"/>
      <c r="AHP147" s="33"/>
      <c r="AHZ147" s="33"/>
      <c r="AIJ147" s="33"/>
      <c r="AIT147" s="33"/>
      <c r="AJD147" s="33"/>
      <c r="AJN147" s="33"/>
      <c r="AJX147" s="33"/>
      <c r="AKH147" s="33"/>
      <c r="AKR147" s="33"/>
      <c r="ALB147" s="33"/>
      <c r="ALL147" s="33"/>
      <c r="ALV147" s="33"/>
      <c r="AMF147" s="33"/>
      <c r="AMP147" s="33"/>
      <c r="AMZ147" s="33"/>
      <c r="ANJ147" s="33"/>
      <c r="ANT147" s="33"/>
      <c r="AOD147" s="33"/>
      <c r="AON147" s="33"/>
      <c r="AOX147" s="33"/>
      <c r="APH147" s="33"/>
      <c r="APR147" s="33"/>
      <c r="AQB147" s="33"/>
      <c r="AQL147" s="33"/>
      <c r="AQV147" s="33"/>
      <c r="ARF147" s="33"/>
      <c r="ARP147" s="33"/>
      <c r="ARZ147" s="33"/>
      <c r="ASJ147" s="33"/>
      <c r="AST147" s="33"/>
      <c r="ATD147" s="33"/>
      <c r="ATN147" s="33"/>
      <c r="ATX147" s="33"/>
      <c r="AUH147" s="33"/>
      <c r="AUR147" s="33"/>
      <c r="AVB147" s="33"/>
      <c r="AVL147" s="33"/>
      <c r="AVV147" s="33"/>
      <c r="AWF147" s="33"/>
      <c r="AWP147" s="33"/>
      <c r="AWZ147" s="33"/>
      <c r="AXJ147" s="33"/>
      <c r="AXT147" s="33"/>
      <c r="AYD147" s="33"/>
      <c r="AYN147" s="33"/>
      <c r="AYX147" s="33"/>
      <c r="AZH147" s="33"/>
      <c r="AZR147" s="33"/>
      <c r="BAB147" s="33"/>
      <c r="BAL147" s="33"/>
      <c r="BAV147" s="33"/>
      <c r="BBF147" s="33"/>
      <c r="BBP147" s="33"/>
      <c r="BBZ147" s="33"/>
      <c r="BCJ147" s="33"/>
      <c r="BCT147" s="33"/>
      <c r="BDD147" s="33"/>
      <c r="BDN147" s="33"/>
      <c r="BDX147" s="33"/>
      <c r="BEH147" s="33"/>
      <c r="BER147" s="33"/>
      <c r="BFB147" s="33"/>
      <c r="BFL147" s="33"/>
      <c r="BFV147" s="33"/>
      <c r="BGF147" s="33"/>
      <c r="BGP147" s="33"/>
      <c r="BGZ147" s="33"/>
      <c r="BHJ147" s="33"/>
      <c r="BHT147" s="33"/>
      <c r="BID147" s="33"/>
      <c r="BIN147" s="33"/>
      <c r="BIX147" s="33"/>
      <c r="BJH147" s="33"/>
      <c r="BJR147" s="33"/>
      <c r="BKB147" s="33"/>
      <c r="BKL147" s="33"/>
      <c r="BKV147" s="33"/>
      <c r="BLF147" s="33"/>
      <c r="BLP147" s="33"/>
      <c r="BLZ147" s="33"/>
      <c r="BMJ147" s="33"/>
      <c r="BMT147" s="33"/>
      <c r="BND147" s="33"/>
      <c r="BNN147" s="33"/>
      <c r="BNX147" s="33"/>
      <c r="BOH147" s="33"/>
      <c r="BOR147" s="33"/>
      <c r="BPB147" s="33"/>
      <c r="BPL147" s="33"/>
      <c r="BPV147" s="33"/>
      <c r="BQF147" s="33"/>
      <c r="BQP147" s="33"/>
      <c r="BQZ147" s="33"/>
      <c r="BRJ147" s="33"/>
      <c r="BRT147" s="33"/>
      <c r="BSD147" s="33"/>
      <c r="BSN147" s="33"/>
      <c r="BSX147" s="33"/>
      <c r="BTH147" s="33"/>
      <c r="BTR147" s="33"/>
      <c r="BUB147" s="33"/>
      <c r="BUL147" s="33"/>
      <c r="BUV147" s="33"/>
      <c r="BVF147" s="33"/>
      <c r="BVP147" s="33"/>
      <c r="BVZ147" s="33"/>
      <c r="BWJ147" s="33"/>
      <c r="BWT147" s="33"/>
      <c r="BXD147" s="33"/>
      <c r="BXN147" s="33"/>
      <c r="BXX147" s="33"/>
      <c r="BYH147" s="33"/>
      <c r="BYR147" s="33"/>
      <c r="BZB147" s="33"/>
      <c r="BZL147" s="33"/>
      <c r="BZV147" s="33"/>
      <c r="CAF147" s="33"/>
      <c r="CAP147" s="33"/>
      <c r="CAZ147" s="33"/>
      <c r="CBJ147" s="33"/>
      <c r="CBT147" s="33"/>
      <c r="CCD147" s="33"/>
      <c r="CCN147" s="33"/>
      <c r="CCX147" s="33"/>
      <c r="CDH147" s="33"/>
      <c r="CDR147" s="33"/>
      <c r="CEB147" s="33"/>
      <c r="CEL147" s="33"/>
      <c r="CEV147" s="33"/>
      <c r="CFF147" s="33"/>
      <c r="CFP147" s="33"/>
      <c r="CFZ147" s="33"/>
      <c r="CGJ147" s="33"/>
      <c r="CGT147" s="33"/>
      <c r="CHD147" s="33"/>
      <c r="CHN147" s="33"/>
      <c r="CHX147" s="33"/>
      <c r="CIH147" s="33"/>
      <c r="CIR147" s="33"/>
      <c r="CJB147" s="33"/>
      <c r="CJL147" s="33"/>
      <c r="CJV147" s="33"/>
      <c r="CKF147" s="33"/>
      <c r="CKP147" s="33"/>
      <c r="CKZ147" s="33"/>
      <c r="CLJ147" s="33"/>
      <c r="CLT147" s="33"/>
      <c r="CMD147" s="33"/>
      <c r="CMN147" s="33"/>
      <c r="CMX147" s="33"/>
      <c r="CNH147" s="33"/>
      <c r="CNR147" s="33"/>
      <c r="COB147" s="33"/>
      <c r="COL147" s="33"/>
      <c r="COV147" s="33"/>
      <c r="CPF147" s="33"/>
      <c r="CPP147" s="33"/>
      <c r="CPZ147" s="33"/>
      <c r="CQJ147" s="33"/>
      <c r="CQT147" s="33"/>
      <c r="CRD147" s="33"/>
      <c r="CRN147" s="33"/>
      <c r="CRX147" s="33"/>
      <c r="CSH147" s="33"/>
      <c r="CSR147" s="33"/>
      <c r="CTB147" s="33"/>
      <c r="CTL147" s="33"/>
      <c r="CTV147" s="33"/>
    </row>
    <row r="148" s="16" customFormat="1" customHeight="1" spans="1:1020 1030:2040 2050:2570">
      <c r="A148" s="57"/>
      <c r="B148" s="52"/>
      <c r="C148" s="52"/>
      <c r="D148" s="52"/>
      <c r="E148" s="52"/>
      <c r="F148" s="58" t="str">
        <f>IFERROR(VLOOKUP(E148,日报!E:G,2,0),"")</f>
        <v/>
      </c>
      <c r="G148" s="52"/>
      <c r="H148" s="53" t="str">
        <f>IFERROR(VLOOKUP(E148,基础数据!$E$4:$H$4,4,0),"")</f>
        <v/>
      </c>
      <c r="I148" s="53" t="str">
        <f>IFERROR(VLOOKUP(E148,基础数据!$E$4:$H$4,3,0),"")</f>
        <v/>
      </c>
      <c r="J148" s="52"/>
      <c r="K148" s="54" t="str">
        <f t="shared" si="2"/>
        <v/>
      </c>
      <c r="T148" s="33"/>
      <c r="AD148" s="33"/>
      <c r="AN148" s="33"/>
      <c r="AX148" s="33"/>
      <c r="BH148" s="33"/>
      <c r="BR148" s="33"/>
      <c r="CB148" s="33"/>
      <c r="CL148" s="33"/>
      <c r="CV148" s="33"/>
      <c r="DF148" s="33"/>
      <c r="DP148" s="33"/>
      <c r="DZ148" s="33"/>
      <c r="EJ148" s="33"/>
      <c r="ET148" s="33"/>
      <c r="FD148" s="33"/>
      <c r="FN148" s="33"/>
      <c r="FX148" s="33"/>
      <c r="GH148" s="33"/>
      <c r="GR148" s="33"/>
      <c r="HB148" s="33"/>
      <c r="HL148" s="33"/>
      <c r="HV148" s="33"/>
      <c r="IF148" s="33"/>
      <c r="IP148" s="33"/>
      <c r="IZ148" s="33"/>
      <c r="JJ148" s="33"/>
      <c r="JT148" s="33"/>
      <c r="KD148" s="33"/>
      <c r="KN148" s="33"/>
      <c r="KX148" s="33"/>
      <c r="LH148" s="33"/>
      <c r="LR148" s="33"/>
      <c r="MB148" s="33"/>
      <c r="ML148" s="33"/>
      <c r="MV148" s="33"/>
      <c r="NF148" s="33"/>
      <c r="NP148" s="33"/>
      <c r="NZ148" s="33"/>
      <c r="OJ148" s="33"/>
      <c r="OT148" s="33"/>
      <c r="PD148" s="33"/>
      <c r="PN148" s="33"/>
      <c r="PX148" s="33"/>
      <c r="QH148" s="33"/>
      <c r="QR148" s="33"/>
      <c r="RB148" s="33"/>
      <c r="RL148" s="33"/>
      <c r="RV148" s="33"/>
      <c r="SF148" s="33"/>
      <c r="SP148" s="33"/>
      <c r="SZ148" s="33"/>
      <c r="TJ148" s="33"/>
      <c r="TT148" s="33"/>
      <c r="UD148" s="33"/>
      <c r="UN148" s="33"/>
      <c r="UX148" s="33"/>
      <c r="VH148" s="33"/>
      <c r="VR148" s="33"/>
      <c r="WB148" s="33"/>
      <c r="WL148" s="33"/>
      <c r="WV148" s="33"/>
      <c r="XF148" s="33"/>
      <c r="XP148" s="33"/>
      <c r="XZ148" s="33"/>
      <c r="YJ148" s="33"/>
      <c r="YT148" s="33"/>
      <c r="ZD148" s="33"/>
      <c r="ZN148" s="33"/>
      <c r="ZX148" s="33"/>
      <c r="AAH148" s="33"/>
      <c r="AAR148" s="33"/>
      <c r="ABB148" s="33"/>
      <c r="ABL148" s="33"/>
      <c r="ABV148" s="33"/>
      <c r="ACF148" s="33"/>
      <c r="ACP148" s="33"/>
      <c r="ACZ148" s="33"/>
      <c r="ADJ148" s="33"/>
      <c r="ADT148" s="33"/>
      <c r="AED148" s="33"/>
      <c r="AEN148" s="33"/>
      <c r="AEX148" s="33"/>
      <c r="AFH148" s="33"/>
      <c r="AFR148" s="33"/>
      <c r="AGB148" s="33"/>
      <c r="AGL148" s="33"/>
      <c r="AGV148" s="33"/>
      <c r="AHF148" s="33"/>
      <c r="AHP148" s="33"/>
      <c r="AHZ148" s="33"/>
      <c r="AIJ148" s="33"/>
      <c r="AIT148" s="33"/>
      <c r="AJD148" s="33"/>
      <c r="AJN148" s="33"/>
      <c r="AJX148" s="33"/>
      <c r="AKH148" s="33"/>
      <c r="AKR148" s="33"/>
      <c r="ALB148" s="33"/>
      <c r="ALL148" s="33"/>
      <c r="ALV148" s="33"/>
      <c r="AMF148" s="33"/>
      <c r="AMP148" s="33"/>
      <c r="AMZ148" s="33"/>
      <c r="ANJ148" s="33"/>
      <c r="ANT148" s="33"/>
      <c r="AOD148" s="33"/>
      <c r="AON148" s="33"/>
      <c r="AOX148" s="33"/>
      <c r="APH148" s="33"/>
      <c r="APR148" s="33"/>
      <c r="AQB148" s="33"/>
      <c r="AQL148" s="33"/>
      <c r="AQV148" s="33"/>
      <c r="ARF148" s="33"/>
      <c r="ARP148" s="33"/>
      <c r="ARZ148" s="33"/>
      <c r="ASJ148" s="33"/>
      <c r="AST148" s="33"/>
      <c r="ATD148" s="33"/>
      <c r="ATN148" s="33"/>
      <c r="ATX148" s="33"/>
      <c r="AUH148" s="33"/>
      <c r="AUR148" s="33"/>
      <c r="AVB148" s="33"/>
      <c r="AVL148" s="33"/>
      <c r="AVV148" s="33"/>
      <c r="AWF148" s="33"/>
      <c r="AWP148" s="33"/>
      <c r="AWZ148" s="33"/>
      <c r="AXJ148" s="33"/>
      <c r="AXT148" s="33"/>
      <c r="AYD148" s="33"/>
      <c r="AYN148" s="33"/>
      <c r="AYX148" s="33"/>
      <c r="AZH148" s="33"/>
      <c r="AZR148" s="33"/>
      <c r="BAB148" s="33"/>
      <c r="BAL148" s="33"/>
      <c r="BAV148" s="33"/>
      <c r="BBF148" s="33"/>
      <c r="BBP148" s="33"/>
      <c r="BBZ148" s="33"/>
      <c r="BCJ148" s="33"/>
      <c r="BCT148" s="33"/>
      <c r="BDD148" s="33"/>
      <c r="BDN148" s="33"/>
      <c r="BDX148" s="33"/>
      <c r="BEH148" s="33"/>
      <c r="BER148" s="33"/>
      <c r="BFB148" s="33"/>
      <c r="BFL148" s="33"/>
      <c r="BFV148" s="33"/>
      <c r="BGF148" s="33"/>
      <c r="BGP148" s="33"/>
      <c r="BGZ148" s="33"/>
      <c r="BHJ148" s="33"/>
      <c r="BHT148" s="33"/>
      <c r="BID148" s="33"/>
      <c r="BIN148" s="33"/>
      <c r="BIX148" s="33"/>
      <c r="BJH148" s="33"/>
      <c r="BJR148" s="33"/>
      <c r="BKB148" s="33"/>
      <c r="BKL148" s="33"/>
      <c r="BKV148" s="33"/>
      <c r="BLF148" s="33"/>
      <c r="BLP148" s="33"/>
      <c r="BLZ148" s="33"/>
      <c r="BMJ148" s="33"/>
      <c r="BMT148" s="33"/>
      <c r="BND148" s="33"/>
      <c r="BNN148" s="33"/>
      <c r="BNX148" s="33"/>
      <c r="BOH148" s="33"/>
      <c r="BOR148" s="33"/>
      <c r="BPB148" s="33"/>
      <c r="BPL148" s="33"/>
      <c r="BPV148" s="33"/>
      <c r="BQF148" s="33"/>
      <c r="BQP148" s="33"/>
      <c r="BQZ148" s="33"/>
      <c r="BRJ148" s="33"/>
      <c r="BRT148" s="33"/>
      <c r="BSD148" s="33"/>
      <c r="BSN148" s="33"/>
      <c r="BSX148" s="33"/>
      <c r="BTH148" s="33"/>
      <c r="BTR148" s="33"/>
      <c r="BUB148" s="33"/>
      <c r="BUL148" s="33"/>
      <c r="BUV148" s="33"/>
      <c r="BVF148" s="33"/>
      <c r="BVP148" s="33"/>
      <c r="BVZ148" s="33"/>
      <c r="BWJ148" s="33"/>
      <c r="BWT148" s="33"/>
      <c r="BXD148" s="33"/>
      <c r="BXN148" s="33"/>
      <c r="BXX148" s="33"/>
      <c r="BYH148" s="33"/>
      <c r="BYR148" s="33"/>
      <c r="BZB148" s="33"/>
      <c r="BZL148" s="33"/>
      <c r="BZV148" s="33"/>
      <c r="CAF148" s="33"/>
      <c r="CAP148" s="33"/>
      <c r="CAZ148" s="33"/>
      <c r="CBJ148" s="33"/>
      <c r="CBT148" s="33"/>
      <c r="CCD148" s="33"/>
      <c r="CCN148" s="33"/>
      <c r="CCX148" s="33"/>
      <c r="CDH148" s="33"/>
      <c r="CDR148" s="33"/>
      <c r="CEB148" s="33"/>
      <c r="CEL148" s="33"/>
      <c r="CEV148" s="33"/>
      <c r="CFF148" s="33"/>
      <c r="CFP148" s="33"/>
      <c r="CFZ148" s="33"/>
      <c r="CGJ148" s="33"/>
      <c r="CGT148" s="33"/>
      <c r="CHD148" s="33"/>
      <c r="CHN148" s="33"/>
      <c r="CHX148" s="33"/>
      <c r="CIH148" s="33"/>
      <c r="CIR148" s="33"/>
      <c r="CJB148" s="33"/>
      <c r="CJL148" s="33"/>
      <c r="CJV148" s="33"/>
      <c r="CKF148" s="33"/>
      <c r="CKP148" s="33"/>
      <c r="CKZ148" s="33"/>
      <c r="CLJ148" s="33"/>
      <c r="CLT148" s="33"/>
      <c r="CMD148" s="33"/>
      <c r="CMN148" s="33"/>
      <c r="CMX148" s="33"/>
      <c r="CNH148" s="33"/>
      <c r="CNR148" s="33"/>
      <c r="COB148" s="33"/>
      <c r="COL148" s="33"/>
      <c r="COV148" s="33"/>
      <c r="CPF148" s="33"/>
      <c r="CPP148" s="33"/>
      <c r="CPZ148" s="33"/>
      <c r="CQJ148" s="33"/>
      <c r="CQT148" s="33"/>
      <c r="CRD148" s="33"/>
      <c r="CRN148" s="33"/>
      <c r="CRX148" s="33"/>
      <c r="CSH148" s="33"/>
      <c r="CSR148" s="33"/>
      <c r="CTB148" s="33"/>
      <c r="CTL148" s="33"/>
      <c r="CTV148" s="33"/>
    </row>
    <row r="149" s="16" customFormat="1" customHeight="1" spans="1:1020 1030:2040 2050:2570">
      <c r="A149" s="57"/>
      <c r="B149" s="52"/>
      <c r="C149" s="52"/>
      <c r="D149" s="52"/>
      <c r="E149" s="52"/>
      <c r="F149" s="58" t="str">
        <f>IFERROR(VLOOKUP(E149,日报!E:G,2,0),"")</f>
        <v/>
      </c>
      <c r="G149" s="52"/>
      <c r="H149" s="53" t="str">
        <f>IFERROR(VLOOKUP(E149,基础数据!$E$4:$H$4,4,0),"")</f>
        <v/>
      </c>
      <c r="I149" s="53" t="str">
        <f>IFERROR(VLOOKUP(E149,基础数据!$E$4:$H$4,3,0),"")</f>
        <v/>
      </c>
      <c r="J149" s="52"/>
      <c r="K149" s="54" t="str">
        <f t="shared" si="2"/>
        <v/>
      </c>
      <c r="T149" s="33"/>
      <c r="AD149" s="33"/>
      <c r="AN149" s="33"/>
      <c r="AX149" s="33"/>
      <c r="BH149" s="33"/>
      <c r="BR149" s="33"/>
      <c r="CB149" s="33"/>
      <c r="CL149" s="33"/>
      <c r="CV149" s="33"/>
      <c r="DF149" s="33"/>
      <c r="DP149" s="33"/>
      <c r="DZ149" s="33"/>
      <c r="EJ149" s="33"/>
      <c r="ET149" s="33"/>
      <c r="FD149" s="33"/>
      <c r="FN149" s="33"/>
      <c r="FX149" s="33"/>
      <c r="GH149" s="33"/>
      <c r="GR149" s="33"/>
      <c r="HB149" s="33"/>
      <c r="HL149" s="33"/>
      <c r="HV149" s="33"/>
      <c r="IF149" s="33"/>
      <c r="IP149" s="33"/>
      <c r="IZ149" s="33"/>
      <c r="JJ149" s="33"/>
      <c r="JT149" s="33"/>
      <c r="KD149" s="33"/>
      <c r="KN149" s="33"/>
      <c r="KX149" s="33"/>
      <c r="LH149" s="33"/>
      <c r="LR149" s="33"/>
      <c r="MB149" s="33"/>
      <c r="ML149" s="33"/>
      <c r="MV149" s="33"/>
      <c r="NF149" s="33"/>
      <c r="NP149" s="33"/>
      <c r="NZ149" s="33"/>
      <c r="OJ149" s="33"/>
      <c r="OT149" s="33"/>
      <c r="PD149" s="33"/>
      <c r="PN149" s="33"/>
      <c r="PX149" s="33"/>
      <c r="QH149" s="33"/>
      <c r="QR149" s="33"/>
      <c r="RB149" s="33"/>
      <c r="RL149" s="33"/>
      <c r="RV149" s="33"/>
      <c r="SF149" s="33"/>
      <c r="SP149" s="33"/>
      <c r="SZ149" s="33"/>
      <c r="TJ149" s="33"/>
      <c r="TT149" s="33"/>
      <c r="UD149" s="33"/>
      <c r="UN149" s="33"/>
      <c r="UX149" s="33"/>
      <c r="VH149" s="33"/>
      <c r="VR149" s="33"/>
      <c r="WB149" s="33"/>
      <c r="WL149" s="33"/>
      <c r="WV149" s="33"/>
      <c r="XF149" s="33"/>
      <c r="XP149" s="33"/>
      <c r="XZ149" s="33"/>
      <c r="YJ149" s="33"/>
      <c r="YT149" s="33"/>
      <c r="ZD149" s="33"/>
      <c r="ZN149" s="33"/>
      <c r="ZX149" s="33"/>
      <c r="AAH149" s="33"/>
      <c r="AAR149" s="33"/>
      <c r="ABB149" s="33"/>
      <c r="ABL149" s="33"/>
      <c r="ABV149" s="33"/>
      <c r="ACF149" s="33"/>
      <c r="ACP149" s="33"/>
      <c r="ACZ149" s="33"/>
      <c r="ADJ149" s="33"/>
      <c r="ADT149" s="33"/>
      <c r="AED149" s="33"/>
      <c r="AEN149" s="33"/>
      <c r="AEX149" s="33"/>
      <c r="AFH149" s="33"/>
      <c r="AFR149" s="33"/>
      <c r="AGB149" s="33"/>
      <c r="AGL149" s="33"/>
      <c r="AGV149" s="33"/>
      <c r="AHF149" s="33"/>
      <c r="AHP149" s="33"/>
      <c r="AHZ149" s="33"/>
      <c r="AIJ149" s="33"/>
      <c r="AIT149" s="33"/>
      <c r="AJD149" s="33"/>
      <c r="AJN149" s="33"/>
      <c r="AJX149" s="33"/>
      <c r="AKH149" s="33"/>
      <c r="AKR149" s="33"/>
      <c r="ALB149" s="33"/>
      <c r="ALL149" s="33"/>
      <c r="ALV149" s="33"/>
      <c r="AMF149" s="33"/>
      <c r="AMP149" s="33"/>
      <c r="AMZ149" s="33"/>
      <c r="ANJ149" s="33"/>
      <c r="ANT149" s="33"/>
      <c r="AOD149" s="33"/>
      <c r="AON149" s="33"/>
      <c r="AOX149" s="33"/>
      <c r="APH149" s="33"/>
      <c r="APR149" s="33"/>
      <c r="AQB149" s="33"/>
      <c r="AQL149" s="33"/>
      <c r="AQV149" s="33"/>
      <c r="ARF149" s="33"/>
      <c r="ARP149" s="33"/>
      <c r="ARZ149" s="33"/>
      <c r="ASJ149" s="33"/>
      <c r="AST149" s="33"/>
      <c r="ATD149" s="33"/>
      <c r="ATN149" s="33"/>
      <c r="ATX149" s="33"/>
      <c r="AUH149" s="33"/>
      <c r="AUR149" s="33"/>
      <c r="AVB149" s="33"/>
      <c r="AVL149" s="33"/>
      <c r="AVV149" s="33"/>
      <c r="AWF149" s="33"/>
      <c r="AWP149" s="33"/>
      <c r="AWZ149" s="33"/>
      <c r="AXJ149" s="33"/>
      <c r="AXT149" s="33"/>
      <c r="AYD149" s="33"/>
      <c r="AYN149" s="33"/>
      <c r="AYX149" s="33"/>
      <c r="AZH149" s="33"/>
      <c r="AZR149" s="33"/>
      <c r="BAB149" s="33"/>
      <c r="BAL149" s="33"/>
      <c r="BAV149" s="33"/>
      <c r="BBF149" s="33"/>
      <c r="BBP149" s="33"/>
      <c r="BBZ149" s="33"/>
      <c r="BCJ149" s="33"/>
      <c r="BCT149" s="33"/>
      <c r="BDD149" s="33"/>
      <c r="BDN149" s="33"/>
      <c r="BDX149" s="33"/>
      <c r="BEH149" s="33"/>
      <c r="BER149" s="33"/>
      <c r="BFB149" s="33"/>
      <c r="BFL149" s="33"/>
      <c r="BFV149" s="33"/>
      <c r="BGF149" s="33"/>
      <c r="BGP149" s="33"/>
      <c r="BGZ149" s="33"/>
      <c r="BHJ149" s="33"/>
      <c r="BHT149" s="33"/>
      <c r="BID149" s="33"/>
      <c r="BIN149" s="33"/>
      <c r="BIX149" s="33"/>
      <c r="BJH149" s="33"/>
      <c r="BJR149" s="33"/>
      <c r="BKB149" s="33"/>
      <c r="BKL149" s="33"/>
      <c r="BKV149" s="33"/>
      <c r="BLF149" s="33"/>
      <c r="BLP149" s="33"/>
      <c r="BLZ149" s="33"/>
      <c r="BMJ149" s="33"/>
      <c r="BMT149" s="33"/>
      <c r="BND149" s="33"/>
      <c r="BNN149" s="33"/>
      <c r="BNX149" s="33"/>
      <c r="BOH149" s="33"/>
      <c r="BOR149" s="33"/>
      <c r="BPB149" s="33"/>
      <c r="BPL149" s="33"/>
      <c r="BPV149" s="33"/>
      <c r="BQF149" s="33"/>
      <c r="BQP149" s="33"/>
      <c r="BQZ149" s="33"/>
      <c r="BRJ149" s="33"/>
      <c r="BRT149" s="33"/>
      <c r="BSD149" s="33"/>
      <c r="BSN149" s="33"/>
      <c r="BSX149" s="33"/>
      <c r="BTH149" s="33"/>
      <c r="BTR149" s="33"/>
      <c r="BUB149" s="33"/>
      <c r="BUL149" s="33"/>
      <c r="BUV149" s="33"/>
      <c r="BVF149" s="33"/>
      <c r="BVP149" s="33"/>
      <c r="BVZ149" s="33"/>
      <c r="BWJ149" s="33"/>
      <c r="BWT149" s="33"/>
      <c r="BXD149" s="33"/>
      <c r="BXN149" s="33"/>
      <c r="BXX149" s="33"/>
      <c r="BYH149" s="33"/>
      <c r="BYR149" s="33"/>
      <c r="BZB149" s="33"/>
      <c r="BZL149" s="33"/>
      <c r="BZV149" s="33"/>
      <c r="CAF149" s="33"/>
      <c r="CAP149" s="33"/>
      <c r="CAZ149" s="33"/>
      <c r="CBJ149" s="33"/>
      <c r="CBT149" s="33"/>
      <c r="CCD149" s="33"/>
      <c r="CCN149" s="33"/>
      <c r="CCX149" s="33"/>
      <c r="CDH149" s="33"/>
      <c r="CDR149" s="33"/>
      <c r="CEB149" s="33"/>
      <c r="CEL149" s="33"/>
      <c r="CEV149" s="33"/>
      <c r="CFF149" s="33"/>
      <c r="CFP149" s="33"/>
      <c r="CFZ149" s="33"/>
      <c r="CGJ149" s="33"/>
      <c r="CGT149" s="33"/>
      <c r="CHD149" s="33"/>
      <c r="CHN149" s="33"/>
      <c r="CHX149" s="33"/>
      <c r="CIH149" s="33"/>
      <c r="CIR149" s="33"/>
      <c r="CJB149" s="33"/>
      <c r="CJL149" s="33"/>
      <c r="CJV149" s="33"/>
      <c r="CKF149" s="33"/>
      <c r="CKP149" s="33"/>
      <c r="CKZ149" s="33"/>
      <c r="CLJ149" s="33"/>
      <c r="CLT149" s="33"/>
      <c r="CMD149" s="33"/>
      <c r="CMN149" s="33"/>
      <c r="CMX149" s="33"/>
      <c r="CNH149" s="33"/>
      <c r="CNR149" s="33"/>
      <c r="COB149" s="33"/>
      <c r="COL149" s="33"/>
      <c r="COV149" s="33"/>
      <c r="CPF149" s="33"/>
      <c r="CPP149" s="33"/>
      <c r="CPZ149" s="33"/>
      <c r="CQJ149" s="33"/>
      <c r="CQT149" s="33"/>
      <c r="CRD149" s="33"/>
      <c r="CRN149" s="33"/>
      <c r="CRX149" s="33"/>
      <c r="CSH149" s="33"/>
      <c r="CSR149" s="33"/>
      <c r="CTB149" s="33"/>
      <c r="CTL149" s="33"/>
      <c r="CTV149" s="33"/>
    </row>
    <row r="150" s="16" customFormat="1" customHeight="1" spans="1:1020 1030:2040 2050:2570">
      <c r="A150" s="57"/>
      <c r="B150" s="52"/>
      <c r="C150" s="52"/>
      <c r="D150" s="52"/>
      <c r="E150" s="52"/>
      <c r="F150" s="58" t="str">
        <f>IFERROR(VLOOKUP(E150,日报!E:G,2,0),"")</f>
        <v/>
      </c>
      <c r="G150" s="52"/>
      <c r="H150" s="53" t="str">
        <f>IFERROR(VLOOKUP(E150,基础数据!$E$4:$H$4,4,0),"")</f>
        <v/>
      </c>
      <c r="I150" s="53" t="str">
        <f>IFERROR(VLOOKUP(E150,基础数据!$E$4:$H$4,3,0),"")</f>
        <v/>
      </c>
      <c r="J150" s="52"/>
      <c r="K150" s="54" t="str">
        <f t="shared" si="2"/>
        <v/>
      </c>
      <c r="T150" s="33"/>
      <c r="AD150" s="33"/>
      <c r="AN150" s="33"/>
      <c r="AX150" s="33"/>
      <c r="BH150" s="33"/>
      <c r="BR150" s="33"/>
      <c r="CB150" s="33"/>
      <c r="CL150" s="33"/>
      <c r="CV150" s="33"/>
      <c r="DF150" s="33"/>
      <c r="DP150" s="33"/>
      <c r="DZ150" s="33"/>
      <c r="EJ150" s="33"/>
      <c r="ET150" s="33"/>
      <c r="FD150" s="33"/>
      <c r="FN150" s="33"/>
      <c r="FX150" s="33"/>
      <c r="GH150" s="33"/>
      <c r="GR150" s="33"/>
      <c r="HB150" s="33"/>
      <c r="HL150" s="33"/>
      <c r="HV150" s="33"/>
      <c r="IF150" s="33"/>
      <c r="IP150" s="33"/>
      <c r="IZ150" s="33"/>
      <c r="JJ150" s="33"/>
      <c r="JT150" s="33"/>
      <c r="KD150" s="33"/>
      <c r="KN150" s="33"/>
      <c r="KX150" s="33"/>
      <c r="LH150" s="33"/>
      <c r="LR150" s="33"/>
      <c r="MB150" s="33"/>
      <c r="ML150" s="33"/>
      <c r="MV150" s="33"/>
      <c r="NF150" s="33"/>
      <c r="NP150" s="33"/>
      <c r="NZ150" s="33"/>
      <c r="OJ150" s="33"/>
      <c r="OT150" s="33"/>
      <c r="PD150" s="33"/>
      <c r="PN150" s="33"/>
      <c r="PX150" s="33"/>
      <c r="QH150" s="33"/>
      <c r="QR150" s="33"/>
      <c r="RB150" s="33"/>
      <c r="RL150" s="33"/>
      <c r="RV150" s="33"/>
      <c r="SF150" s="33"/>
      <c r="SP150" s="33"/>
      <c r="SZ150" s="33"/>
      <c r="TJ150" s="33"/>
      <c r="TT150" s="33"/>
      <c r="UD150" s="33"/>
      <c r="UN150" s="33"/>
      <c r="UX150" s="33"/>
      <c r="VH150" s="33"/>
      <c r="VR150" s="33"/>
      <c r="WB150" s="33"/>
      <c r="WL150" s="33"/>
      <c r="WV150" s="33"/>
      <c r="XF150" s="33"/>
      <c r="XP150" s="33"/>
      <c r="XZ150" s="33"/>
      <c r="YJ150" s="33"/>
      <c r="YT150" s="33"/>
      <c r="ZD150" s="33"/>
      <c r="ZN150" s="33"/>
      <c r="ZX150" s="33"/>
      <c r="AAH150" s="33"/>
      <c r="AAR150" s="33"/>
      <c r="ABB150" s="33"/>
      <c r="ABL150" s="33"/>
      <c r="ABV150" s="33"/>
      <c r="ACF150" s="33"/>
      <c r="ACP150" s="33"/>
      <c r="ACZ150" s="33"/>
      <c r="ADJ150" s="33"/>
      <c r="ADT150" s="33"/>
      <c r="AED150" s="33"/>
      <c r="AEN150" s="33"/>
      <c r="AEX150" s="33"/>
      <c r="AFH150" s="33"/>
      <c r="AFR150" s="33"/>
      <c r="AGB150" s="33"/>
      <c r="AGL150" s="33"/>
      <c r="AGV150" s="33"/>
      <c r="AHF150" s="33"/>
      <c r="AHP150" s="33"/>
      <c r="AHZ150" s="33"/>
      <c r="AIJ150" s="33"/>
      <c r="AIT150" s="33"/>
      <c r="AJD150" s="33"/>
      <c r="AJN150" s="33"/>
      <c r="AJX150" s="33"/>
      <c r="AKH150" s="33"/>
      <c r="AKR150" s="33"/>
      <c r="ALB150" s="33"/>
      <c r="ALL150" s="33"/>
      <c r="ALV150" s="33"/>
      <c r="AMF150" s="33"/>
      <c r="AMP150" s="33"/>
      <c r="AMZ150" s="33"/>
      <c r="ANJ150" s="33"/>
      <c r="ANT150" s="33"/>
      <c r="AOD150" s="33"/>
      <c r="AON150" s="33"/>
      <c r="AOX150" s="33"/>
      <c r="APH150" s="33"/>
      <c r="APR150" s="33"/>
      <c r="AQB150" s="33"/>
      <c r="AQL150" s="33"/>
      <c r="AQV150" s="33"/>
      <c r="ARF150" s="33"/>
      <c r="ARP150" s="33"/>
      <c r="ARZ150" s="33"/>
      <c r="ASJ150" s="33"/>
      <c r="AST150" s="33"/>
      <c r="ATD150" s="33"/>
      <c r="ATN150" s="33"/>
      <c r="ATX150" s="33"/>
      <c r="AUH150" s="33"/>
      <c r="AUR150" s="33"/>
      <c r="AVB150" s="33"/>
      <c r="AVL150" s="33"/>
      <c r="AVV150" s="33"/>
      <c r="AWF150" s="33"/>
      <c r="AWP150" s="33"/>
      <c r="AWZ150" s="33"/>
      <c r="AXJ150" s="33"/>
      <c r="AXT150" s="33"/>
      <c r="AYD150" s="33"/>
      <c r="AYN150" s="33"/>
      <c r="AYX150" s="33"/>
      <c r="AZH150" s="33"/>
      <c r="AZR150" s="33"/>
      <c r="BAB150" s="33"/>
      <c r="BAL150" s="33"/>
      <c r="BAV150" s="33"/>
      <c r="BBF150" s="33"/>
      <c r="BBP150" s="33"/>
      <c r="BBZ150" s="33"/>
      <c r="BCJ150" s="33"/>
      <c r="BCT150" s="33"/>
      <c r="BDD150" s="33"/>
      <c r="BDN150" s="33"/>
      <c r="BDX150" s="33"/>
      <c r="BEH150" s="33"/>
      <c r="BER150" s="33"/>
      <c r="BFB150" s="33"/>
      <c r="BFL150" s="33"/>
      <c r="BFV150" s="33"/>
      <c r="BGF150" s="33"/>
      <c r="BGP150" s="33"/>
      <c r="BGZ150" s="33"/>
      <c r="BHJ150" s="33"/>
      <c r="BHT150" s="33"/>
      <c r="BID150" s="33"/>
      <c r="BIN150" s="33"/>
      <c r="BIX150" s="33"/>
      <c r="BJH150" s="33"/>
      <c r="BJR150" s="33"/>
      <c r="BKB150" s="33"/>
      <c r="BKL150" s="33"/>
      <c r="BKV150" s="33"/>
      <c r="BLF150" s="33"/>
      <c r="BLP150" s="33"/>
      <c r="BLZ150" s="33"/>
      <c r="BMJ150" s="33"/>
      <c r="BMT150" s="33"/>
      <c r="BND150" s="33"/>
      <c r="BNN150" s="33"/>
      <c r="BNX150" s="33"/>
      <c r="BOH150" s="33"/>
      <c r="BOR150" s="33"/>
      <c r="BPB150" s="33"/>
      <c r="BPL150" s="33"/>
      <c r="BPV150" s="33"/>
      <c r="BQF150" s="33"/>
      <c r="BQP150" s="33"/>
      <c r="BQZ150" s="33"/>
      <c r="BRJ150" s="33"/>
      <c r="BRT150" s="33"/>
      <c r="BSD150" s="33"/>
      <c r="BSN150" s="33"/>
      <c r="BSX150" s="33"/>
      <c r="BTH150" s="33"/>
      <c r="BTR150" s="33"/>
      <c r="BUB150" s="33"/>
      <c r="BUL150" s="33"/>
      <c r="BUV150" s="33"/>
      <c r="BVF150" s="33"/>
      <c r="BVP150" s="33"/>
      <c r="BVZ150" s="33"/>
      <c r="BWJ150" s="33"/>
      <c r="BWT150" s="33"/>
      <c r="BXD150" s="33"/>
      <c r="BXN150" s="33"/>
      <c r="BXX150" s="33"/>
      <c r="BYH150" s="33"/>
      <c r="BYR150" s="33"/>
      <c r="BZB150" s="33"/>
      <c r="BZL150" s="33"/>
      <c r="BZV150" s="33"/>
      <c r="CAF150" s="33"/>
      <c r="CAP150" s="33"/>
      <c r="CAZ150" s="33"/>
      <c r="CBJ150" s="33"/>
      <c r="CBT150" s="33"/>
      <c r="CCD150" s="33"/>
      <c r="CCN150" s="33"/>
      <c r="CCX150" s="33"/>
      <c r="CDH150" s="33"/>
      <c r="CDR150" s="33"/>
      <c r="CEB150" s="33"/>
      <c r="CEL150" s="33"/>
      <c r="CEV150" s="33"/>
      <c r="CFF150" s="33"/>
      <c r="CFP150" s="33"/>
      <c r="CFZ150" s="33"/>
      <c r="CGJ150" s="33"/>
      <c r="CGT150" s="33"/>
      <c r="CHD150" s="33"/>
      <c r="CHN150" s="33"/>
      <c r="CHX150" s="33"/>
      <c r="CIH150" s="33"/>
      <c r="CIR150" s="33"/>
      <c r="CJB150" s="33"/>
      <c r="CJL150" s="33"/>
      <c r="CJV150" s="33"/>
      <c r="CKF150" s="33"/>
      <c r="CKP150" s="33"/>
      <c r="CKZ150" s="33"/>
      <c r="CLJ150" s="33"/>
      <c r="CLT150" s="33"/>
      <c r="CMD150" s="33"/>
      <c r="CMN150" s="33"/>
      <c r="CMX150" s="33"/>
      <c r="CNH150" s="33"/>
      <c r="CNR150" s="33"/>
      <c r="COB150" s="33"/>
      <c r="COL150" s="33"/>
      <c r="COV150" s="33"/>
      <c r="CPF150" s="33"/>
      <c r="CPP150" s="33"/>
      <c r="CPZ150" s="33"/>
      <c r="CQJ150" s="33"/>
      <c r="CQT150" s="33"/>
      <c r="CRD150" s="33"/>
      <c r="CRN150" s="33"/>
      <c r="CRX150" s="33"/>
      <c r="CSH150" s="33"/>
      <c r="CSR150" s="33"/>
      <c r="CTB150" s="33"/>
      <c r="CTL150" s="33"/>
      <c r="CTV150" s="33"/>
    </row>
    <row r="151" s="16" customFormat="1" customHeight="1" spans="1:1020 1030:2040 2050:2570">
      <c r="A151" s="57"/>
      <c r="B151" s="52"/>
      <c r="C151" s="52"/>
      <c r="D151" s="52"/>
      <c r="E151" s="52"/>
      <c r="F151" s="58" t="str">
        <f>IFERROR(VLOOKUP(E151,日报!E:G,2,0),"")</f>
        <v/>
      </c>
      <c r="G151" s="52"/>
      <c r="H151" s="53" t="str">
        <f>IFERROR(VLOOKUP(E151,基础数据!$E$4:$H$4,4,0),"")</f>
        <v/>
      </c>
      <c r="I151" s="53" t="str">
        <f>IFERROR(VLOOKUP(E151,基础数据!$E$4:$H$4,3,0),"")</f>
        <v/>
      </c>
      <c r="J151" s="52"/>
      <c r="K151" s="54" t="str">
        <f t="shared" si="2"/>
        <v/>
      </c>
      <c r="T151" s="33"/>
      <c r="AD151" s="33"/>
      <c r="AN151" s="33"/>
      <c r="AX151" s="33"/>
      <c r="BH151" s="33"/>
      <c r="BR151" s="33"/>
      <c r="CB151" s="33"/>
      <c r="CL151" s="33"/>
      <c r="CV151" s="33"/>
      <c r="DF151" s="33"/>
      <c r="DP151" s="33"/>
      <c r="DZ151" s="33"/>
      <c r="EJ151" s="33"/>
      <c r="ET151" s="33"/>
      <c r="FD151" s="33"/>
      <c r="FN151" s="33"/>
      <c r="FX151" s="33"/>
      <c r="GH151" s="33"/>
      <c r="GR151" s="33"/>
      <c r="HB151" s="33"/>
      <c r="HL151" s="33"/>
      <c r="HV151" s="33"/>
      <c r="IF151" s="33"/>
      <c r="IP151" s="33"/>
      <c r="IZ151" s="33"/>
      <c r="JJ151" s="33"/>
      <c r="JT151" s="33"/>
      <c r="KD151" s="33"/>
      <c r="KN151" s="33"/>
      <c r="KX151" s="33"/>
      <c r="LH151" s="33"/>
      <c r="LR151" s="33"/>
      <c r="MB151" s="33"/>
      <c r="ML151" s="33"/>
      <c r="MV151" s="33"/>
      <c r="NF151" s="33"/>
      <c r="NP151" s="33"/>
      <c r="NZ151" s="33"/>
      <c r="OJ151" s="33"/>
      <c r="OT151" s="33"/>
      <c r="PD151" s="33"/>
      <c r="PN151" s="33"/>
      <c r="PX151" s="33"/>
      <c r="QH151" s="33"/>
      <c r="QR151" s="33"/>
      <c r="RB151" s="33"/>
      <c r="RL151" s="33"/>
      <c r="RV151" s="33"/>
      <c r="SF151" s="33"/>
      <c r="SP151" s="33"/>
      <c r="SZ151" s="33"/>
      <c r="TJ151" s="33"/>
      <c r="TT151" s="33"/>
      <c r="UD151" s="33"/>
      <c r="UN151" s="33"/>
      <c r="UX151" s="33"/>
      <c r="VH151" s="33"/>
      <c r="VR151" s="33"/>
      <c r="WB151" s="33"/>
      <c r="WL151" s="33"/>
      <c r="WV151" s="33"/>
      <c r="XF151" s="33"/>
      <c r="XP151" s="33"/>
      <c r="XZ151" s="33"/>
      <c r="YJ151" s="33"/>
      <c r="YT151" s="33"/>
      <c r="ZD151" s="33"/>
      <c r="ZN151" s="33"/>
      <c r="ZX151" s="33"/>
      <c r="AAH151" s="33"/>
      <c r="AAR151" s="33"/>
      <c r="ABB151" s="33"/>
      <c r="ABL151" s="33"/>
      <c r="ABV151" s="33"/>
      <c r="ACF151" s="33"/>
      <c r="ACP151" s="33"/>
      <c r="ACZ151" s="33"/>
      <c r="ADJ151" s="33"/>
      <c r="ADT151" s="33"/>
      <c r="AED151" s="33"/>
      <c r="AEN151" s="33"/>
      <c r="AEX151" s="33"/>
      <c r="AFH151" s="33"/>
      <c r="AFR151" s="33"/>
      <c r="AGB151" s="33"/>
      <c r="AGL151" s="33"/>
      <c r="AGV151" s="33"/>
      <c r="AHF151" s="33"/>
      <c r="AHP151" s="33"/>
      <c r="AHZ151" s="33"/>
      <c r="AIJ151" s="33"/>
      <c r="AIT151" s="33"/>
      <c r="AJD151" s="33"/>
      <c r="AJN151" s="33"/>
      <c r="AJX151" s="33"/>
      <c r="AKH151" s="33"/>
      <c r="AKR151" s="33"/>
      <c r="ALB151" s="33"/>
      <c r="ALL151" s="33"/>
      <c r="ALV151" s="33"/>
      <c r="AMF151" s="33"/>
      <c r="AMP151" s="33"/>
      <c r="AMZ151" s="33"/>
      <c r="ANJ151" s="33"/>
      <c r="ANT151" s="33"/>
      <c r="AOD151" s="33"/>
      <c r="AON151" s="33"/>
      <c r="AOX151" s="33"/>
      <c r="APH151" s="33"/>
      <c r="APR151" s="33"/>
      <c r="AQB151" s="33"/>
      <c r="AQL151" s="33"/>
      <c r="AQV151" s="33"/>
      <c r="ARF151" s="33"/>
      <c r="ARP151" s="33"/>
      <c r="ARZ151" s="33"/>
      <c r="ASJ151" s="33"/>
      <c r="AST151" s="33"/>
      <c r="ATD151" s="33"/>
      <c r="ATN151" s="33"/>
      <c r="ATX151" s="33"/>
      <c r="AUH151" s="33"/>
      <c r="AUR151" s="33"/>
      <c r="AVB151" s="33"/>
      <c r="AVL151" s="33"/>
      <c r="AVV151" s="33"/>
      <c r="AWF151" s="33"/>
      <c r="AWP151" s="33"/>
      <c r="AWZ151" s="33"/>
      <c r="AXJ151" s="33"/>
      <c r="AXT151" s="33"/>
      <c r="AYD151" s="33"/>
      <c r="AYN151" s="33"/>
      <c r="AYX151" s="33"/>
      <c r="AZH151" s="33"/>
      <c r="AZR151" s="33"/>
      <c r="BAB151" s="33"/>
      <c r="BAL151" s="33"/>
      <c r="BAV151" s="33"/>
      <c r="BBF151" s="33"/>
      <c r="BBP151" s="33"/>
      <c r="BBZ151" s="33"/>
      <c r="BCJ151" s="33"/>
      <c r="BCT151" s="33"/>
      <c r="BDD151" s="33"/>
      <c r="BDN151" s="33"/>
      <c r="BDX151" s="33"/>
      <c r="BEH151" s="33"/>
      <c r="BER151" s="33"/>
      <c r="BFB151" s="33"/>
      <c r="BFL151" s="33"/>
      <c r="BFV151" s="33"/>
      <c r="BGF151" s="33"/>
      <c r="BGP151" s="33"/>
      <c r="BGZ151" s="33"/>
      <c r="BHJ151" s="33"/>
      <c r="BHT151" s="33"/>
      <c r="BID151" s="33"/>
      <c r="BIN151" s="33"/>
      <c r="BIX151" s="33"/>
      <c r="BJH151" s="33"/>
      <c r="BJR151" s="33"/>
      <c r="BKB151" s="33"/>
      <c r="BKL151" s="33"/>
      <c r="BKV151" s="33"/>
      <c r="BLF151" s="33"/>
      <c r="BLP151" s="33"/>
      <c r="BLZ151" s="33"/>
      <c r="BMJ151" s="33"/>
      <c r="BMT151" s="33"/>
      <c r="BND151" s="33"/>
      <c r="BNN151" s="33"/>
      <c r="BNX151" s="33"/>
      <c r="BOH151" s="33"/>
      <c r="BOR151" s="33"/>
      <c r="BPB151" s="33"/>
      <c r="BPL151" s="33"/>
      <c r="BPV151" s="33"/>
      <c r="BQF151" s="33"/>
      <c r="BQP151" s="33"/>
      <c r="BQZ151" s="33"/>
      <c r="BRJ151" s="33"/>
      <c r="BRT151" s="33"/>
      <c r="BSD151" s="33"/>
      <c r="BSN151" s="33"/>
      <c r="BSX151" s="33"/>
      <c r="BTH151" s="33"/>
      <c r="BTR151" s="33"/>
      <c r="BUB151" s="33"/>
      <c r="BUL151" s="33"/>
      <c r="BUV151" s="33"/>
      <c r="BVF151" s="33"/>
      <c r="BVP151" s="33"/>
      <c r="BVZ151" s="33"/>
      <c r="BWJ151" s="33"/>
      <c r="BWT151" s="33"/>
      <c r="BXD151" s="33"/>
      <c r="BXN151" s="33"/>
      <c r="BXX151" s="33"/>
      <c r="BYH151" s="33"/>
      <c r="BYR151" s="33"/>
      <c r="BZB151" s="33"/>
      <c r="BZL151" s="33"/>
      <c r="BZV151" s="33"/>
      <c r="CAF151" s="33"/>
      <c r="CAP151" s="33"/>
      <c r="CAZ151" s="33"/>
      <c r="CBJ151" s="33"/>
      <c r="CBT151" s="33"/>
      <c r="CCD151" s="33"/>
      <c r="CCN151" s="33"/>
      <c r="CCX151" s="33"/>
      <c r="CDH151" s="33"/>
      <c r="CDR151" s="33"/>
      <c r="CEB151" s="33"/>
      <c r="CEL151" s="33"/>
      <c r="CEV151" s="33"/>
      <c r="CFF151" s="33"/>
      <c r="CFP151" s="33"/>
      <c r="CFZ151" s="33"/>
      <c r="CGJ151" s="33"/>
      <c r="CGT151" s="33"/>
      <c r="CHD151" s="33"/>
      <c r="CHN151" s="33"/>
      <c r="CHX151" s="33"/>
      <c r="CIH151" s="33"/>
      <c r="CIR151" s="33"/>
      <c r="CJB151" s="33"/>
      <c r="CJL151" s="33"/>
      <c r="CJV151" s="33"/>
      <c r="CKF151" s="33"/>
      <c r="CKP151" s="33"/>
      <c r="CKZ151" s="33"/>
      <c r="CLJ151" s="33"/>
      <c r="CLT151" s="33"/>
      <c r="CMD151" s="33"/>
      <c r="CMN151" s="33"/>
      <c r="CMX151" s="33"/>
      <c r="CNH151" s="33"/>
      <c r="CNR151" s="33"/>
      <c r="COB151" s="33"/>
      <c r="COL151" s="33"/>
      <c r="COV151" s="33"/>
      <c r="CPF151" s="33"/>
      <c r="CPP151" s="33"/>
      <c r="CPZ151" s="33"/>
      <c r="CQJ151" s="33"/>
      <c r="CQT151" s="33"/>
      <c r="CRD151" s="33"/>
      <c r="CRN151" s="33"/>
      <c r="CRX151" s="33"/>
      <c r="CSH151" s="33"/>
      <c r="CSR151" s="33"/>
      <c r="CTB151" s="33"/>
      <c r="CTL151" s="33"/>
      <c r="CTV151" s="33"/>
    </row>
    <row r="152" s="16" customFormat="1" customHeight="1" spans="1:1020 1030:2040 2050:2570">
      <c r="A152" s="57"/>
      <c r="B152" s="52"/>
      <c r="C152" s="52"/>
      <c r="D152" s="52"/>
      <c r="E152" s="52"/>
      <c r="F152" s="58" t="str">
        <f>IFERROR(VLOOKUP(E152,日报!E:G,2,0),"")</f>
        <v/>
      </c>
      <c r="G152" s="52"/>
      <c r="H152" s="53" t="str">
        <f>IFERROR(VLOOKUP(E152,基础数据!$E$4:$H$4,4,0),"")</f>
        <v/>
      </c>
      <c r="I152" s="53" t="str">
        <f>IFERROR(VLOOKUP(E152,基础数据!$E$4:$H$4,3,0),"")</f>
        <v/>
      </c>
      <c r="J152" s="52"/>
      <c r="K152" s="54" t="str">
        <f t="shared" si="2"/>
        <v/>
      </c>
      <c r="T152" s="33"/>
      <c r="AD152" s="33"/>
      <c r="AN152" s="33"/>
      <c r="AX152" s="33"/>
      <c r="BH152" s="33"/>
      <c r="BR152" s="33"/>
      <c r="CB152" s="33"/>
      <c r="CL152" s="33"/>
      <c r="CV152" s="33"/>
      <c r="DF152" s="33"/>
      <c r="DP152" s="33"/>
      <c r="DZ152" s="33"/>
      <c r="EJ152" s="33"/>
      <c r="ET152" s="33"/>
      <c r="FD152" s="33"/>
      <c r="FN152" s="33"/>
      <c r="FX152" s="33"/>
      <c r="GH152" s="33"/>
      <c r="GR152" s="33"/>
      <c r="HB152" s="33"/>
      <c r="HL152" s="33"/>
      <c r="HV152" s="33"/>
      <c r="IF152" s="33"/>
      <c r="IP152" s="33"/>
      <c r="IZ152" s="33"/>
      <c r="JJ152" s="33"/>
      <c r="JT152" s="33"/>
      <c r="KD152" s="33"/>
      <c r="KN152" s="33"/>
      <c r="KX152" s="33"/>
      <c r="LH152" s="33"/>
      <c r="LR152" s="33"/>
      <c r="MB152" s="33"/>
      <c r="ML152" s="33"/>
      <c r="MV152" s="33"/>
      <c r="NF152" s="33"/>
      <c r="NP152" s="33"/>
      <c r="NZ152" s="33"/>
      <c r="OJ152" s="33"/>
      <c r="OT152" s="33"/>
      <c r="PD152" s="33"/>
      <c r="PN152" s="33"/>
      <c r="PX152" s="33"/>
      <c r="QH152" s="33"/>
      <c r="QR152" s="33"/>
      <c r="RB152" s="33"/>
      <c r="RL152" s="33"/>
      <c r="RV152" s="33"/>
      <c r="SF152" s="33"/>
      <c r="SP152" s="33"/>
      <c r="SZ152" s="33"/>
      <c r="TJ152" s="33"/>
      <c r="TT152" s="33"/>
      <c r="UD152" s="33"/>
      <c r="UN152" s="33"/>
      <c r="UX152" s="33"/>
      <c r="VH152" s="33"/>
      <c r="VR152" s="33"/>
      <c r="WB152" s="33"/>
      <c r="WL152" s="33"/>
      <c r="WV152" s="33"/>
      <c r="XF152" s="33"/>
      <c r="XP152" s="33"/>
      <c r="XZ152" s="33"/>
      <c r="YJ152" s="33"/>
      <c r="YT152" s="33"/>
      <c r="ZD152" s="33"/>
      <c r="ZN152" s="33"/>
      <c r="ZX152" s="33"/>
      <c r="AAH152" s="33"/>
      <c r="AAR152" s="33"/>
      <c r="ABB152" s="33"/>
      <c r="ABL152" s="33"/>
      <c r="ABV152" s="33"/>
      <c r="ACF152" s="33"/>
      <c r="ACP152" s="33"/>
      <c r="ACZ152" s="33"/>
      <c r="ADJ152" s="33"/>
      <c r="ADT152" s="33"/>
      <c r="AED152" s="33"/>
      <c r="AEN152" s="33"/>
      <c r="AEX152" s="33"/>
      <c r="AFH152" s="33"/>
      <c r="AFR152" s="33"/>
      <c r="AGB152" s="33"/>
      <c r="AGL152" s="33"/>
      <c r="AGV152" s="33"/>
      <c r="AHF152" s="33"/>
      <c r="AHP152" s="33"/>
      <c r="AHZ152" s="33"/>
      <c r="AIJ152" s="33"/>
      <c r="AIT152" s="33"/>
      <c r="AJD152" s="33"/>
      <c r="AJN152" s="33"/>
      <c r="AJX152" s="33"/>
      <c r="AKH152" s="33"/>
      <c r="AKR152" s="33"/>
      <c r="ALB152" s="33"/>
      <c r="ALL152" s="33"/>
      <c r="ALV152" s="33"/>
      <c r="AMF152" s="33"/>
      <c r="AMP152" s="33"/>
      <c r="AMZ152" s="33"/>
      <c r="ANJ152" s="33"/>
      <c r="ANT152" s="33"/>
      <c r="AOD152" s="33"/>
      <c r="AON152" s="33"/>
      <c r="AOX152" s="33"/>
      <c r="APH152" s="33"/>
      <c r="APR152" s="33"/>
      <c r="AQB152" s="33"/>
      <c r="AQL152" s="33"/>
      <c r="AQV152" s="33"/>
      <c r="ARF152" s="33"/>
      <c r="ARP152" s="33"/>
      <c r="ARZ152" s="33"/>
      <c r="ASJ152" s="33"/>
      <c r="AST152" s="33"/>
      <c r="ATD152" s="33"/>
      <c r="ATN152" s="33"/>
      <c r="ATX152" s="33"/>
      <c r="AUH152" s="33"/>
      <c r="AUR152" s="33"/>
      <c r="AVB152" s="33"/>
      <c r="AVL152" s="33"/>
      <c r="AVV152" s="33"/>
      <c r="AWF152" s="33"/>
      <c r="AWP152" s="33"/>
      <c r="AWZ152" s="33"/>
      <c r="AXJ152" s="33"/>
      <c r="AXT152" s="33"/>
      <c r="AYD152" s="33"/>
      <c r="AYN152" s="33"/>
      <c r="AYX152" s="33"/>
      <c r="AZH152" s="33"/>
      <c r="AZR152" s="33"/>
      <c r="BAB152" s="33"/>
      <c r="BAL152" s="33"/>
      <c r="BAV152" s="33"/>
      <c r="BBF152" s="33"/>
      <c r="BBP152" s="33"/>
      <c r="BBZ152" s="33"/>
      <c r="BCJ152" s="33"/>
      <c r="BCT152" s="33"/>
      <c r="BDD152" s="33"/>
      <c r="BDN152" s="33"/>
      <c r="BDX152" s="33"/>
      <c r="BEH152" s="33"/>
      <c r="BER152" s="33"/>
      <c r="BFB152" s="33"/>
      <c r="BFL152" s="33"/>
      <c r="BFV152" s="33"/>
      <c r="BGF152" s="33"/>
      <c r="BGP152" s="33"/>
      <c r="BGZ152" s="33"/>
      <c r="BHJ152" s="33"/>
      <c r="BHT152" s="33"/>
      <c r="BID152" s="33"/>
      <c r="BIN152" s="33"/>
      <c r="BIX152" s="33"/>
      <c r="BJH152" s="33"/>
      <c r="BJR152" s="33"/>
      <c r="BKB152" s="33"/>
      <c r="BKL152" s="33"/>
      <c r="BKV152" s="33"/>
      <c r="BLF152" s="33"/>
      <c r="BLP152" s="33"/>
      <c r="BLZ152" s="33"/>
      <c r="BMJ152" s="33"/>
      <c r="BMT152" s="33"/>
      <c r="BND152" s="33"/>
      <c r="BNN152" s="33"/>
      <c r="BNX152" s="33"/>
      <c r="BOH152" s="33"/>
      <c r="BOR152" s="33"/>
      <c r="BPB152" s="33"/>
      <c r="BPL152" s="33"/>
      <c r="BPV152" s="33"/>
      <c r="BQF152" s="33"/>
      <c r="BQP152" s="33"/>
      <c r="BQZ152" s="33"/>
      <c r="BRJ152" s="33"/>
      <c r="BRT152" s="33"/>
      <c r="BSD152" s="33"/>
      <c r="BSN152" s="33"/>
      <c r="BSX152" s="33"/>
      <c r="BTH152" s="33"/>
      <c r="BTR152" s="33"/>
      <c r="BUB152" s="33"/>
      <c r="BUL152" s="33"/>
      <c r="BUV152" s="33"/>
      <c r="BVF152" s="33"/>
      <c r="BVP152" s="33"/>
      <c r="BVZ152" s="33"/>
      <c r="BWJ152" s="33"/>
      <c r="BWT152" s="33"/>
      <c r="BXD152" s="33"/>
      <c r="BXN152" s="33"/>
      <c r="BXX152" s="33"/>
      <c r="BYH152" s="33"/>
      <c r="BYR152" s="33"/>
      <c r="BZB152" s="33"/>
      <c r="BZL152" s="33"/>
      <c r="BZV152" s="33"/>
      <c r="CAF152" s="33"/>
      <c r="CAP152" s="33"/>
      <c r="CAZ152" s="33"/>
      <c r="CBJ152" s="33"/>
      <c r="CBT152" s="33"/>
      <c r="CCD152" s="33"/>
      <c r="CCN152" s="33"/>
      <c r="CCX152" s="33"/>
      <c r="CDH152" s="33"/>
      <c r="CDR152" s="33"/>
      <c r="CEB152" s="33"/>
      <c r="CEL152" s="33"/>
      <c r="CEV152" s="33"/>
      <c r="CFF152" s="33"/>
      <c r="CFP152" s="33"/>
      <c r="CFZ152" s="33"/>
      <c r="CGJ152" s="33"/>
      <c r="CGT152" s="33"/>
      <c r="CHD152" s="33"/>
      <c r="CHN152" s="33"/>
      <c r="CHX152" s="33"/>
      <c r="CIH152" s="33"/>
      <c r="CIR152" s="33"/>
      <c r="CJB152" s="33"/>
      <c r="CJL152" s="33"/>
      <c r="CJV152" s="33"/>
      <c r="CKF152" s="33"/>
      <c r="CKP152" s="33"/>
      <c r="CKZ152" s="33"/>
      <c r="CLJ152" s="33"/>
      <c r="CLT152" s="33"/>
      <c r="CMD152" s="33"/>
      <c r="CMN152" s="33"/>
      <c r="CMX152" s="33"/>
      <c r="CNH152" s="33"/>
      <c r="CNR152" s="33"/>
      <c r="COB152" s="33"/>
      <c r="COL152" s="33"/>
      <c r="COV152" s="33"/>
      <c r="CPF152" s="33"/>
      <c r="CPP152" s="33"/>
      <c r="CPZ152" s="33"/>
      <c r="CQJ152" s="33"/>
      <c r="CQT152" s="33"/>
      <c r="CRD152" s="33"/>
      <c r="CRN152" s="33"/>
      <c r="CRX152" s="33"/>
      <c r="CSH152" s="33"/>
      <c r="CSR152" s="33"/>
      <c r="CTB152" s="33"/>
      <c r="CTL152" s="33"/>
      <c r="CTV152" s="33"/>
    </row>
    <row r="153" s="16" customFormat="1" customHeight="1" spans="1:1020 1030:2040 2050:2570">
      <c r="A153" s="57"/>
      <c r="B153" s="52"/>
      <c r="C153" s="52"/>
      <c r="D153" s="52"/>
      <c r="E153" s="52"/>
      <c r="F153" s="58" t="str">
        <f>IFERROR(VLOOKUP(E153,日报!E:G,2,0),"")</f>
        <v/>
      </c>
      <c r="G153" s="52"/>
      <c r="H153" s="53" t="str">
        <f>IFERROR(VLOOKUP(E153,基础数据!$E$4:$H$4,4,0),"")</f>
        <v/>
      </c>
      <c r="I153" s="53" t="str">
        <f>IFERROR(VLOOKUP(E153,基础数据!$E$4:$H$4,3,0),"")</f>
        <v/>
      </c>
      <c r="J153" s="52"/>
      <c r="K153" s="54" t="str">
        <f t="shared" si="2"/>
        <v/>
      </c>
      <c r="T153" s="33"/>
      <c r="AD153" s="33"/>
      <c r="AN153" s="33"/>
      <c r="AX153" s="33"/>
      <c r="BH153" s="33"/>
      <c r="BR153" s="33"/>
      <c r="CB153" s="33"/>
      <c r="CL153" s="33"/>
      <c r="CV153" s="33"/>
      <c r="DF153" s="33"/>
      <c r="DP153" s="33"/>
      <c r="DZ153" s="33"/>
      <c r="EJ153" s="33"/>
      <c r="ET153" s="33"/>
      <c r="FD153" s="33"/>
      <c r="FN153" s="33"/>
      <c r="FX153" s="33"/>
      <c r="GH153" s="33"/>
      <c r="GR153" s="33"/>
      <c r="HB153" s="33"/>
      <c r="HL153" s="33"/>
      <c r="HV153" s="33"/>
      <c r="IF153" s="33"/>
      <c r="IP153" s="33"/>
      <c r="IZ153" s="33"/>
      <c r="JJ153" s="33"/>
      <c r="JT153" s="33"/>
      <c r="KD153" s="33"/>
      <c r="KN153" s="33"/>
      <c r="KX153" s="33"/>
      <c r="LH153" s="33"/>
      <c r="LR153" s="33"/>
      <c r="MB153" s="33"/>
      <c r="ML153" s="33"/>
      <c r="MV153" s="33"/>
      <c r="NF153" s="33"/>
      <c r="NP153" s="33"/>
      <c r="NZ153" s="33"/>
      <c r="OJ153" s="33"/>
      <c r="OT153" s="33"/>
      <c r="PD153" s="33"/>
      <c r="PN153" s="33"/>
      <c r="PX153" s="33"/>
      <c r="QH153" s="33"/>
      <c r="QR153" s="33"/>
      <c r="RB153" s="33"/>
      <c r="RL153" s="33"/>
      <c r="RV153" s="33"/>
      <c r="SF153" s="33"/>
      <c r="SP153" s="33"/>
      <c r="SZ153" s="33"/>
      <c r="TJ153" s="33"/>
      <c r="TT153" s="33"/>
      <c r="UD153" s="33"/>
      <c r="UN153" s="33"/>
      <c r="UX153" s="33"/>
      <c r="VH153" s="33"/>
      <c r="VR153" s="33"/>
      <c r="WB153" s="33"/>
      <c r="WL153" s="33"/>
      <c r="WV153" s="33"/>
      <c r="XF153" s="33"/>
      <c r="XP153" s="33"/>
      <c r="XZ153" s="33"/>
      <c r="YJ153" s="33"/>
      <c r="YT153" s="33"/>
      <c r="ZD153" s="33"/>
      <c r="ZN153" s="33"/>
      <c r="ZX153" s="33"/>
      <c r="AAH153" s="33"/>
      <c r="AAR153" s="33"/>
      <c r="ABB153" s="33"/>
      <c r="ABL153" s="33"/>
      <c r="ABV153" s="33"/>
      <c r="ACF153" s="33"/>
      <c r="ACP153" s="33"/>
      <c r="ACZ153" s="33"/>
      <c r="ADJ153" s="33"/>
      <c r="ADT153" s="33"/>
      <c r="AED153" s="33"/>
      <c r="AEN153" s="33"/>
      <c r="AEX153" s="33"/>
      <c r="AFH153" s="33"/>
      <c r="AFR153" s="33"/>
      <c r="AGB153" s="33"/>
      <c r="AGL153" s="33"/>
      <c r="AGV153" s="33"/>
      <c r="AHF153" s="33"/>
      <c r="AHP153" s="33"/>
      <c r="AHZ153" s="33"/>
      <c r="AIJ153" s="33"/>
      <c r="AIT153" s="33"/>
      <c r="AJD153" s="33"/>
      <c r="AJN153" s="33"/>
      <c r="AJX153" s="33"/>
      <c r="AKH153" s="33"/>
      <c r="AKR153" s="33"/>
      <c r="ALB153" s="33"/>
      <c r="ALL153" s="33"/>
      <c r="ALV153" s="33"/>
      <c r="AMF153" s="33"/>
      <c r="AMP153" s="33"/>
      <c r="AMZ153" s="33"/>
      <c r="ANJ153" s="33"/>
      <c r="ANT153" s="33"/>
      <c r="AOD153" s="33"/>
      <c r="AON153" s="33"/>
      <c r="AOX153" s="33"/>
      <c r="APH153" s="33"/>
      <c r="APR153" s="33"/>
      <c r="AQB153" s="33"/>
      <c r="AQL153" s="33"/>
      <c r="AQV153" s="33"/>
      <c r="ARF153" s="33"/>
      <c r="ARP153" s="33"/>
      <c r="ARZ153" s="33"/>
      <c r="ASJ153" s="33"/>
      <c r="AST153" s="33"/>
      <c r="ATD153" s="33"/>
      <c r="ATN153" s="33"/>
      <c r="ATX153" s="33"/>
      <c r="AUH153" s="33"/>
      <c r="AUR153" s="33"/>
      <c r="AVB153" s="33"/>
      <c r="AVL153" s="33"/>
      <c r="AVV153" s="33"/>
      <c r="AWF153" s="33"/>
      <c r="AWP153" s="33"/>
      <c r="AWZ153" s="33"/>
      <c r="AXJ153" s="33"/>
      <c r="AXT153" s="33"/>
      <c r="AYD153" s="33"/>
      <c r="AYN153" s="33"/>
      <c r="AYX153" s="33"/>
      <c r="AZH153" s="33"/>
      <c r="AZR153" s="33"/>
      <c r="BAB153" s="33"/>
      <c r="BAL153" s="33"/>
      <c r="BAV153" s="33"/>
      <c r="BBF153" s="33"/>
      <c r="BBP153" s="33"/>
      <c r="BBZ153" s="33"/>
      <c r="BCJ153" s="33"/>
      <c r="BCT153" s="33"/>
      <c r="BDD153" s="33"/>
      <c r="BDN153" s="33"/>
      <c r="BDX153" s="33"/>
      <c r="BEH153" s="33"/>
      <c r="BER153" s="33"/>
      <c r="BFB153" s="33"/>
      <c r="BFL153" s="33"/>
      <c r="BFV153" s="33"/>
      <c r="BGF153" s="33"/>
      <c r="BGP153" s="33"/>
      <c r="BGZ153" s="33"/>
      <c r="BHJ153" s="33"/>
      <c r="BHT153" s="33"/>
      <c r="BID153" s="33"/>
      <c r="BIN153" s="33"/>
      <c r="BIX153" s="33"/>
      <c r="BJH153" s="33"/>
      <c r="BJR153" s="33"/>
      <c r="BKB153" s="33"/>
      <c r="BKL153" s="33"/>
      <c r="BKV153" s="33"/>
      <c r="BLF153" s="33"/>
      <c r="BLP153" s="33"/>
      <c r="BLZ153" s="33"/>
      <c r="BMJ153" s="33"/>
      <c r="BMT153" s="33"/>
      <c r="BND153" s="33"/>
      <c r="BNN153" s="33"/>
      <c r="BNX153" s="33"/>
      <c r="BOH153" s="33"/>
      <c r="BOR153" s="33"/>
      <c r="BPB153" s="33"/>
      <c r="BPL153" s="33"/>
      <c r="BPV153" s="33"/>
      <c r="BQF153" s="33"/>
      <c r="BQP153" s="33"/>
      <c r="BQZ153" s="33"/>
      <c r="BRJ153" s="33"/>
      <c r="BRT153" s="33"/>
      <c r="BSD153" s="33"/>
      <c r="BSN153" s="33"/>
      <c r="BSX153" s="33"/>
      <c r="BTH153" s="33"/>
      <c r="BTR153" s="33"/>
      <c r="BUB153" s="33"/>
      <c r="BUL153" s="33"/>
      <c r="BUV153" s="33"/>
      <c r="BVF153" s="33"/>
      <c r="BVP153" s="33"/>
      <c r="BVZ153" s="33"/>
      <c r="BWJ153" s="33"/>
      <c r="BWT153" s="33"/>
      <c r="BXD153" s="33"/>
      <c r="BXN153" s="33"/>
      <c r="BXX153" s="33"/>
      <c r="BYH153" s="33"/>
      <c r="BYR153" s="33"/>
      <c r="BZB153" s="33"/>
      <c r="BZL153" s="33"/>
      <c r="BZV153" s="33"/>
      <c r="CAF153" s="33"/>
      <c r="CAP153" s="33"/>
      <c r="CAZ153" s="33"/>
      <c r="CBJ153" s="33"/>
      <c r="CBT153" s="33"/>
      <c r="CCD153" s="33"/>
      <c r="CCN153" s="33"/>
      <c r="CCX153" s="33"/>
      <c r="CDH153" s="33"/>
      <c r="CDR153" s="33"/>
      <c r="CEB153" s="33"/>
      <c r="CEL153" s="33"/>
      <c r="CEV153" s="33"/>
      <c r="CFF153" s="33"/>
      <c r="CFP153" s="33"/>
      <c r="CFZ153" s="33"/>
      <c r="CGJ153" s="33"/>
      <c r="CGT153" s="33"/>
      <c r="CHD153" s="33"/>
      <c r="CHN153" s="33"/>
      <c r="CHX153" s="33"/>
      <c r="CIH153" s="33"/>
      <c r="CIR153" s="33"/>
      <c r="CJB153" s="33"/>
      <c r="CJL153" s="33"/>
      <c r="CJV153" s="33"/>
      <c r="CKF153" s="33"/>
      <c r="CKP153" s="33"/>
      <c r="CKZ153" s="33"/>
      <c r="CLJ153" s="33"/>
      <c r="CLT153" s="33"/>
      <c r="CMD153" s="33"/>
      <c r="CMN153" s="33"/>
      <c r="CMX153" s="33"/>
      <c r="CNH153" s="33"/>
      <c r="CNR153" s="33"/>
      <c r="COB153" s="33"/>
      <c r="COL153" s="33"/>
      <c r="COV153" s="33"/>
      <c r="CPF153" s="33"/>
      <c r="CPP153" s="33"/>
      <c r="CPZ153" s="33"/>
      <c r="CQJ153" s="33"/>
      <c r="CQT153" s="33"/>
      <c r="CRD153" s="33"/>
      <c r="CRN153" s="33"/>
      <c r="CRX153" s="33"/>
      <c r="CSH153" s="33"/>
      <c r="CSR153" s="33"/>
      <c r="CTB153" s="33"/>
      <c r="CTL153" s="33"/>
      <c r="CTV153" s="33"/>
    </row>
    <row r="154" s="16" customFormat="1" customHeight="1" spans="1:1020 1030:2040 2050:2570">
      <c r="A154" s="57"/>
      <c r="B154" s="52"/>
      <c r="C154" s="52"/>
      <c r="D154" s="52"/>
      <c r="E154" s="52"/>
      <c r="F154" s="58" t="str">
        <f>IFERROR(VLOOKUP(E154,日报!E:G,2,0),"")</f>
        <v/>
      </c>
      <c r="G154" s="52"/>
      <c r="H154" s="53" t="str">
        <f>IFERROR(VLOOKUP(E154,基础数据!$E$4:$H$4,4,0),"")</f>
        <v/>
      </c>
      <c r="I154" s="53" t="str">
        <f>IFERROR(VLOOKUP(E154,基础数据!$E$4:$H$4,3,0),"")</f>
        <v/>
      </c>
      <c r="J154" s="52"/>
      <c r="K154" s="54" t="str">
        <f t="shared" si="2"/>
        <v/>
      </c>
      <c r="T154" s="33"/>
      <c r="AD154" s="33"/>
      <c r="AN154" s="33"/>
      <c r="AX154" s="33"/>
      <c r="BH154" s="33"/>
      <c r="BR154" s="33"/>
      <c r="CB154" s="33"/>
      <c r="CL154" s="33"/>
      <c r="CV154" s="33"/>
      <c r="DF154" s="33"/>
      <c r="DP154" s="33"/>
      <c r="DZ154" s="33"/>
      <c r="EJ154" s="33"/>
      <c r="ET154" s="33"/>
      <c r="FD154" s="33"/>
      <c r="FN154" s="33"/>
      <c r="FX154" s="33"/>
      <c r="GH154" s="33"/>
      <c r="GR154" s="33"/>
      <c r="HB154" s="33"/>
      <c r="HL154" s="33"/>
      <c r="HV154" s="33"/>
      <c r="IF154" s="33"/>
      <c r="IP154" s="33"/>
      <c r="IZ154" s="33"/>
      <c r="JJ154" s="33"/>
      <c r="JT154" s="33"/>
      <c r="KD154" s="33"/>
      <c r="KN154" s="33"/>
      <c r="KX154" s="33"/>
      <c r="LH154" s="33"/>
      <c r="LR154" s="33"/>
      <c r="MB154" s="33"/>
      <c r="ML154" s="33"/>
      <c r="MV154" s="33"/>
      <c r="NF154" s="33"/>
      <c r="NP154" s="33"/>
      <c r="NZ154" s="33"/>
      <c r="OJ154" s="33"/>
      <c r="OT154" s="33"/>
      <c r="PD154" s="33"/>
      <c r="PN154" s="33"/>
      <c r="PX154" s="33"/>
      <c r="QH154" s="33"/>
      <c r="QR154" s="33"/>
      <c r="RB154" s="33"/>
      <c r="RL154" s="33"/>
      <c r="RV154" s="33"/>
      <c r="SF154" s="33"/>
      <c r="SP154" s="33"/>
      <c r="SZ154" s="33"/>
      <c r="TJ154" s="33"/>
      <c r="TT154" s="33"/>
      <c r="UD154" s="33"/>
      <c r="UN154" s="33"/>
      <c r="UX154" s="33"/>
      <c r="VH154" s="33"/>
      <c r="VR154" s="33"/>
      <c r="WB154" s="33"/>
      <c r="WL154" s="33"/>
      <c r="WV154" s="33"/>
      <c r="XF154" s="33"/>
      <c r="XP154" s="33"/>
      <c r="XZ154" s="33"/>
      <c r="YJ154" s="33"/>
      <c r="YT154" s="33"/>
      <c r="ZD154" s="33"/>
      <c r="ZN154" s="33"/>
      <c r="ZX154" s="33"/>
      <c r="AAH154" s="33"/>
      <c r="AAR154" s="33"/>
      <c r="ABB154" s="33"/>
      <c r="ABL154" s="33"/>
      <c r="ABV154" s="33"/>
      <c r="ACF154" s="33"/>
      <c r="ACP154" s="33"/>
      <c r="ACZ154" s="33"/>
      <c r="ADJ154" s="33"/>
      <c r="ADT154" s="33"/>
      <c r="AED154" s="33"/>
      <c r="AEN154" s="33"/>
      <c r="AEX154" s="33"/>
      <c r="AFH154" s="33"/>
      <c r="AFR154" s="33"/>
      <c r="AGB154" s="33"/>
      <c r="AGL154" s="33"/>
      <c r="AGV154" s="33"/>
      <c r="AHF154" s="33"/>
      <c r="AHP154" s="33"/>
      <c r="AHZ154" s="33"/>
      <c r="AIJ154" s="33"/>
      <c r="AIT154" s="33"/>
      <c r="AJD154" s="33"/>
      <c r="AJN154" s="33"/>
      <c r="AJX154" s="33"/>
      <c r="AKH154" s="33"/>
      <c r="AKR154" s="33"/>
      <c r="ALB154" s="33"/>
      <c r="ALL154" s="33"/>
      <c r="ALV154" s="33"/>
      <c r="AMF154" s="33"/>
      <c r="AMP154" s="33"/>
      <c r="AMZ154" s="33"/>
      <c r="ANJ154" s="33"/>
      <c r="ANT154" s="33"/>
      <c r="AOD154" s="33"/>
      <c r="AON154" s="33"/>
      <c r="AOX154" s="33"/>
      <c r="APH154" s="33"/>
      <c r="APR154" s="33"/>
      <c r="AQB154" s="33"/>
      <c r="AQL154" s="33"/>
      <c r="AQV154" s="33"/>
      <c r="ARF154" s="33"/>
      <c r="ARP154" s="33"/>
      <c r="ARZ154" s="33"/>
      <c r="ASJ154" s="33"/>
      <c r="AST154" s="33"/>
      <c r="ATD154" s="33"/>
      <c r="ATN154" s="33"/>
      <c r="ATX154" s="33"/>
      <c r="AUH154" s="33"/>
      <c r="AUR154" s="33"/>
      <c r="AVB154" s="33"/>
      <c r="AVL154" s="33"/>
      <c r="AVV154" s="33"/>
      <c r="AWF154" s="33"/>
      <c r="AWP154" s="33"/>
      <c r="AWZ154" s="33"/>
      <c r="AXJ154" s="33"/>
      <c r="AXT154" s="33"/>
      <c r="AYD154" s="33"/>
      <c r="AYN154" s="33"/>
      <c r="AYX154" s="33"/>
      <c r="AZH154" s="33"/>
      <c r="AZR154" s="33"/>
      <c r="BAB154" s="33"/>
      <c r="BAL154" s="33"/>
      <c r="BAV154" s="33"/>
      <c r="BBF154" s="33"/>
      <c r="BBP154" s="33"/>
      <c r="BBZ154" s="33"/>
      <c r="BCJ154" s="33"/>
      <c r="BCT154" s="33"/>
      <c r="BDD154" s="33"/>
      <c r="BDN154" s="33"/>
      <c r="BDX154" s="33"/>
      <c r="BEH154" s="33"/>
      <c r="BER154" s="33"/>
      <c r="BFB154" s="33"/>
      <c r="BFL154" s="33"/>
      <c r="BFV154" s="33"/>
      <c r="BGF154" s="33"/>
      <c r="BGP154" s="33"/>
      <c r="BGZ154" s="33"/>
      <c r="BHJ154" s="33"/>
      <c r="BHT154" s="33"/>
      <c r="BID154" s="33"/>
      <c r="BIN154" s="33"/>
      <c r="BIX154" s="33"/>
      <c r="BJH154" s="33"/>
      <c r="BJR154" s="33"/>
      <c r="BKB154" s="33"/>
      <c r="BKL154" s="33"/>
      <c r="BKV154" s="33"/>
      <c r="BLF154" s="33"/>
      <c r="BLP154" s="33"/>
      <c r="BLZ154" s="33"/>
      <c r="BMJ154" s="33"/>
      <c r="BMT154" s="33"/>
      <c r="BND154" s="33"/>
      <c r="BNN154" s="33"/>
      <c r="BNX154" s="33"/>
      <c r="BOH154" s="33"/>
      <c r="BOR154" s="33"/>
      <c r="BPB154" s="33"/>
      <c r="BPL154" s="33"/>
      <c r="BPV154" s="33"/>
      <c r="BQF154" s="33"/>
      <c r="BQP154" s="33"/>
      <c r="BQZ154" s="33"/>
      <c r="BRJ154" s="33"/>
      <c r="BRT154" s="33"/>
      <c r="BSD154" s="33"/>
      <c r="BSN154" s="33"/>
      <c r="BSX154" s="33"/>
      <c r="BTH154" s="33"/>
      <c r="BTR154" s="33"/>
      <c r="BUB154" s="33"/>
      <c r="BUL154" s="33"/>
      <c r="BUV154" s="33"/>
      <c r="BVF154" s="33"/>
      <c r="BVP154" s="33"/>
      <c r="BVZ154" s="33"/>
      <c r="BWJ154" s="33"/>
      <c r="BWT154" s="33"/>
      <c r="BXD154" s="33"/>
      <c r="BXN154" s="33"/>
      <c r="BXX154" s="33"/>
      <c r="BYH154" s="33"/>
      <c r="BYR154" s="33"/>
      <c r="BZB154" s="33"/>
      <c r="BZL154" s="33"/>
      <c r="BZV154" s="33"/>
      <c r="CAF154" s="33"/>
      <c r="CAP154" s="33"/>
      <c r="CAZ154" s="33"/>
      <c r="CBJ154" s="33"/>
      <c r="CBT154" s="33"/>
      <c r="CCD154" s="33"/>
      <c r="CCN154" s="33"/>
      <c r="CCX154" s="33"/>
      <c r="CDH154" s="33"/>
      <c r="CDR154" s="33"/>
      <c r="CEB154" s="33"/>
      <c r="CEL154" s="33"/>
      <c r="CEV154" s="33"/>
      <c r="CFF154" s="33"/>
      <c r="CFP154" s="33"/>
      <c r="CFZ154" s="33"/>
      <c r="CGJ154" s="33"/>
      <c r="CGT154" s="33"/>
      <c r="CHD154" s="33"/>
      <c r="CHN154" s="33"/>
      <c r="CHX154" s="33"/>
      <c r="CIH154" s="33"/>
      <c r="CIR154" s="33"/>
      <c r="CJB154" s="33"/>
      <c r="CJL154" s="33"/>
      <c r="CJV154" s="33"/>
      <c r="CKF154" s="33"/>
      <c r="CKP154" s="33"/>
      <c r="CKZ154" s="33"/>
      <c r="CLJ154" s="33"/>
      <c r="CLT154" s="33"/>
      <c r="CMD154" s="33"/>
      <c r="CMN154" s="33"/>
      <c r="CMX154" s="33"/>
      <c r="CNH154" s="33"/>
      <c r="CNR154" s="33"/>
      <c r="COB154" s="33"/>
      <c r="COL154" s="33"/>
      <c r="COV154" s="33"/>
      <c r="CPF154" s="33"/>
      <c r="CPP154" s="33"/>
      <c r="CPZ154" s="33"/>
      <c r="CQJ154" s="33"/>
      <c r="CQT154" s="33"/>
      <c r="CRD154" s="33"/>
      <c r="CRN154" s="33"/>
      <c r="CRX154" s="33"/>
      <c r="CSH154" s="33"/>
      <c r="CSR154" s="33"/>
      <c r="CTB154" s="33"/>
      <c r="CTL154" s="33"/>
      <c r="CTV154" s="33"/>
    </row>
    <row r="155" s="16" customFormat="1" customHeight="1" spans="1:1020 1030:2040 2050:2570">
      <c r="A155" s="57"/>
      <c r="B155" s="52"/>
      <c r="C155" s="52"/>
      <c r="D155" s="52"/>
      <c r="E155" s="52"/>
      <c r="F155" s="58" t="str">
        <f>IFERROR(VLOOKUP(E155,日报!E:G,2,0),"")</f>
        <v/>
      </c>
      <c r="G155" s="52"/>
      <c r="H155" s="53" t="str">
        <f>IFERROR(VLOOKUP(E155,基础数据!$E$4:$H$4,4,0),"")</f>
        <v/>
      </c>
      <c r="I155" s="53" t="str">
        <f>IFERROR(VLOOKUP(E155,基础数据!$E$4:$H$4,3,0),"")</f>
        <v/>
      </c>
      <c r="J155" s="52"/>
      <c r="K155" s="54" t="str">
        <f t="shared" si="2"/>
        <v/>
      </c>
      <c r="T155" s="33"/>
      <c r="AD155" s="33"/>
      <c r="AN155" s="33"/>
      <c r="AX155" s="33"/>
      <c r="BH155" s="33"/>
      <c r="BR155" s="33"/>
      <c r="CB155" s="33"/>
      <c r="CL155" s="33"/>
      <c r="CV155" s="33"/>
      <c r="DF155" s="33"/>
      <c r="DP155" s="33"/>
      <c r="DZ155" s="33"/>
      <c r="EJ155" s="33"/>
      <c r="ET155" s="33"/>
      <c r="FD155" s="33"/>
      <c r="FN155" s="33"/>
      <c r="FX155" s="33"/>
      <c r="GH155" s="33"/>
      <c r="GR155" s="33"/>
      <c r="HB155" s="33"/>
      <c r="HL155" s="33"/>
      <c r="HV155" s="33"/>
      <c r="IF155" s="33"/>
      <c r="IP155" s="33"/>
      <c r="IZ155" s="33"/>
      <c r="JJ155" s="33"/>
      <c r="JT155" s="33"/>
      <c r="KD155" s="33"/>
      <c r="KN155" s="33"/>
      <c r="KX155" s="33"/>
      <c r="LH155" s="33"/>
      <c r="LR155" s="33"/>
      <c r="MB155" s="33"/>
      <c r="ML155" s="33"/>
      <c r="MV155" s="33"/>
      <c r="NF155" s="33"/>
      <c r="NP155" s="33"/>
      <c r="NZ155" s="33"/>
      <c r="OJ155" s="33"/>
      <c r="OT155" s="33"/>
      <c r="PD155" s="33"/>
      <c r="PN155" s="33"/>
      <c r="PX155" s="33"/>
      <c r="QH155" s="33"/>
      <c r="QR155" s="33"/>
      <c r="RB155" s="33"/>
      <c r="RL155" s="33"/>
      <c r="RV155" s="33"/>
      <c r="SF155" s="33"/>
      <c r="SP155" s="33"/>
      <c r="SZ155" s="33"/>
      <c r="TJ155" s="33"/>
      <c r="TT155" s="33"/>
      <c r="UD155" s="33"/>
      <c r="UN155" s="33"/>
      <c r="UX155" s="33"/>
      <c r="VH155" s="33"/>
      <c r="VR155" s="33"/>
      <c r="WB155" s="33"/>
      <c r="WL155" s="33"/>
      <c r="WV155" s="33"/>
      <c r="XF155" s="33"/>
      <c r="XP155" s="33"/>
      <c r="XZ155" s="33"/>
      <c r="YJ155" s="33"/>
      <c r="YT155" s="33"/>
      <c r="ZD155" s="33"/>
      <c r="ZN155" s="33"/>
      <c r="ZX155" s="33"/>
      <c r="AAH155" s="33"/>
      <c r="AAR155" s="33"/>
      <c r="ABB155" s="33"/>
      <c r="ABL155" s="33"/>
      <c r="ABV155" s="33"/>
      <c r="ACF155" s="33"/>
      <c r="ACP155" s="33"/>
      <c r="ACZ155" s="33"/>
      <c r="ADJ155" s="33"/>
      <c r="ADT155" s="33"/>
      <c r="AED155" s="33"/>
      <c r="AEN155" s="33"/>
      <c r="AEX155" s="33"/>
      <c r="AFH155" s="33"/>
      <c r="AFR155" s="33"/>
      <c r="AGB155" s="33"/>
      <c r="AGL155" s="33"/>
      <c r="AGV155" s="33"/>
      <c r="AHF155" s="33"/>
      <c r="AHP155" s="33"/>
      <c r="AHZ155" s="33"/>
      <c r="AIJ155" s="33"/>
      <c r="AIT155" s="33"/>
      <c r="AJD155" s="33"/>
      <c r="AJN155" s="33"/>
      <c r="AJX155" s="33"/>
      <c r="AKH155" s="33"/>
      <c r="AKR155" s="33"/>
      <c r="ALB155" s="33"/>
      <c r="ALL155" s="33"/>
      <c r="ALV155" s="33"/>
      <c r="AMF155" s="33"/>
      <c r="AMP155" s="33"/>
      <c r="AMZ155" s="33"/>
      <c r="ANJ155" s="33"/>
      <c r="ANT155" s="33"/>
      <c r="AOD155" s="33"/>
      <c r="AON155" s="33"/>
      <c r="AOX155" s="33"/>
      <c r="APH155" s="33"/>
      <c r="APR155" s="33"/>
      <c r="AQB155" s="33"/>
      <c r="AQL155" s="33"/>
      <c r="AQV155" s="33"/>
      <c r="ARF155" s="33"/>
      <c r="ARP155" s="33"/>
      <c r="ARZ155" s="33"/>
      <c r="ASJ155" s="33"/>
      <c r="AST155" s="33"/>
      <c r="ATD155" s="33"/>
      <c r="ATN155" s="33"/>
      <c r="ATX155" s="33"/>
      <c r="AUH155" s="33"/>
      <c r="AUR155" s="33"/>
      <c r="AVB155" s="33"/>
      <c r="AVL155" s="33"/>
      <c r="AVV155" s="33"/>
      <c r="AWF155" s="33"/>
      <c r="AWP155" s="33"/>
      <c r="AWZ155" s="33"/>
      <c r="AXJ155" s="33"/>
      <c r="AXT155" s="33"/>
      <c r="AYD155" s="33"/>
      <c r="AYN155" s="33"/>
      <c r="AYX155" s="33"/>
      <c r="AZH155" s="33"/>
      <c r="AZR155" s="33"/>
      <c r="BAB155" s="33"/>
      <c r="BAL155" s="33"/>
      <c r="BAV155" s="33"/>
      <c r="BBF155" s="33"/>
      <c r="BBP155" s="33"/>
      <c r="BBZ155" s="33"/>
      <c r="BCJ155" s="33"/>
      <c r="BCT155" s="33"/>
      <c r="BDD155" s="33"/>
      <c r="BDN155" s="33"/>
      <c r="BDX155" s="33"/>
      <c r="BEH155" s="33"/>
      <c r="BER155" s="33"/>
      <c r="BFB155" s="33"/>
      <c r="BFL155" s="33"/>
      <c r="BFV155" s="33"/>
      <c r="BGF155" s="33"/>
      <c r="BGP155" s="33"/>
      <c r="BGZ155" s="33"/>
      <c r="BHJ155" s="33"/>
      <c r="BHT155" s="33"/>
      <c r="BID155" s="33"/>
      <c r="BIN155" s="33"/>
      <c r="BIX155" s="33"/>
      <c r="BJH155" s="33"/>
      <c r="BJR155" s="33"/>
      <c r="BKB155" s="33"/>
      <c r="BKL155" s="33"/>
      <c r="BKV155" s="33"/>
      <c r="BLF155" s="33"/>
      <c r="BLP155" s="33"/>
      <c r="BLZ155" s="33"/>
      <c r="BMJ155" s="33"/>
      <c r="BMT155" s="33"/>
      <c r="BND155" s="33"/>
      <c r="BNN155" s="33"/>
      <c r="BNX155" s="33"/>
      <c r="BOH155" s="33"/>
      <c r="BOR155" s="33"/>
      <c r="BPB155" s="33"/>
      <c r="BPL155" s="33"/>
      <c r="BPV155" s="33"/>
      <c r="BQF155" s="33"/>
      <c r="BQP155" s="33"/>
      <c r="BQZ155" s="33"/>
      <c r="BRJ155" s="33"/>
      <c r="BRT155" s="33"/>
      <c r="BSD155" s="33"/>
      <c r="BSN155" s="33"/>
      <c r="BSX155" s="33"/>
      <c r="BTH155" s="33"/>
      <c r="BTR155" s="33"/>
      <c r="BUB155" s="33"/>
      <c r="BUL155" s="33"/>
      <c r="BUV155" s="33"/>
      <c r="BVF155" s="33"/>
      <c r="BVP155" s="33"/>
      <c r="BVZ155" s="33"/>
      <c r="BWJ155" s="33"/>
      <c r="BWT155" s="33"/>
      <c r="BXD155" s="33"/>
      <c r="BXN155" s="33"/>
      <c r="BXX155" s="33"/>
      <c r="BYH155" s="33"/>
      <c r="BYR155" s="33"/>
      <c r="BZB155" s="33"/>
      <c r="BZL155" s="33"/>
      <c r="BZV155" s="33"/>
      <c r="CAF155" s="33"/>
      <c r="CAP155" s="33"/>
      <c r="CAZ155" s="33"/>
      <c r="CBJ155" s="33"/>
      <c r="CBT155" s="33"/>
      <c r="CCD155" s="33"/>
      <c r="CCN155" s="33"/>
      <c r="CCX155" s="33"/>
      <c r="CDH155" s="33"/>
      <c r="CDR155" s="33"/>
      <c r="CEB155" s="33"/>
      <c r="CEL155" s="33"/>
      <c r="CEV155" s="33"/>
      <c r="CFF155" s="33"/>
      <c r="CFP155" s="33"/>
      <c r="CFZ155" s="33"/>
      <c r="CGJ155" s="33"/>
      <c r="CGT155" s="33"/>
      <c r="CHD155" s="33"/>
      <c r="CHN155" s="33"/>
      <c r="CHX155" s="33"/>
      <c r="CIH155" s="33"/>
      <c r="CIR155" s="33"/>
      <c r="CJB155" s="33"/>
      <c r="CJL155" s="33"/>
      <c r="CJV155" s="33"/>
      <c r="CKF155" s="33"/>
      <c r="CKP155" s="33"/>
      <c r="CKZ155" s="33"/>
      <c r="CLJ155" s="33"/>
      <c r="CLT155" s="33"/>
      <c r="CMD155" s="33"/>
      <c r="CMN155" s="33"/>
      <c r="CMX155" s="33"/>
      <c r="CNH155" s="33"/>
      <c r="CNR155" s="33"/>
      <c r="COB155" s="33"/>
      <c r="COL155" s="33"/>
      <c r="COV155" s="33"/>
      <c r="CPF155" s="33"/>
      <c r="CPP155" s="33"/>
      <c r="CPZ155" s="33"/>
      <c r="CQJ155" s="33"/>
      <c r="CQT155" s="33"/>
      <c r="CRD155" s="33"/>
      <c r="CRN155" s="33"/>
      <c r="CRX155" s="33"/>
      <c r="CSH155" s="33"/>
      <c r="CSR155" s="33"/>
      <c r="CTB155" s="33"/>
      <c r="CTL155" s="33"/>
      <c r="CTV155" s="33"/>
    </row>
    <row r="156" s="16" customFormat="1" customHeight="1" spans="1:1020 1030:2040 2050:2570">
      <c r="A156" s="57"/>
      <c r="B156" s="52"/>
      <c r="C156" s="52"/>
      <c r="D156" s="52"/>
      <c r="E156" s="52"/>
      <c r="F156" s="58" t="str">
        <f>IFERROR(VLOOKUP(E156,日报!E:G,2,0),"")</f>
        <v/>
      </c>
      <c r="G156" s="52"/>
      <c r="H156" s="53" t="str">
        <f>IFERROR(VLOOKUP(E156,基础数据!$E$4:$H$4,4,0),"")</f>
        <v/>
      </c>
      <c r="I156" s="53" t="str">
        <f>IFERROR(VLOOKUP(E156,基础数据!$E$4:$H$4,3,0),"")</f>
        <v/>
      </c>
      <c r="J156" s="52"/>
      <c r="K156" s="54" t="str">
        <f t="shared" si="2"/>
        <v/>
      </c>
      <c r="T156" s="33"/>
      <c r="AD156" s="33"/>
      <c r="AN156" s="33"/>
      <c r="AX156" s="33"/>
      <c r="BH156" s="33"/>
      <c r="BR156" s="33"/>
      <c r="CB156" s="33"/>
      <c r="CL156" s="33"/>
      <c r="CV156" s="33"/>
      <c r="DF156" s="33"/>
      <c r="DP156" s="33"/>
      <c r="DZ156" s="33"/>
      <c r="EJ156" s="33"/>
      <c r="ET156" s="33"/>
      <c r="FD156" s="33"/>
      <c r="FN156" s="33"/>
      <c r="FX156" s="33"/>
      <c r="GH156" s="33"/>
      <c r="GR156" s="33"/>
      <c r="HB156" s="33"/>
      <c r="HL156" s="33"/>
      <c r="HV156" s="33"/>
      <c r="IF156" s="33"/>
      <c r="IP156" s="33"/>
      <c r="IZ156" s="33"/>
      <c r="JJ156" s="33"/>
      <c r="JT156" s="33"/>
      <c r="KD156" s="33"/>
      <c r="KN156" s="33"/>
      <c r="KX156" s="33"/>
      <c r="LH156" s="33"/>
      <c r="LR156" s="33"/>
      <c r="MB156" s="33"/>
      <c r="ML156" s="33"/>
      <c r="MV156" s="33"/>
      <c r="NF156" s="33"/>
      <c r="NP156" s="33"/>
      <c r="NZ156" s="33"/>
      <c r="OJ156" s="33"/>
      <c r="OT156" s="33"/>
      <c r="PD156" s="33"/>
      <c r="PN156" s="33"/>
      <c r="PX156" s="33"/>
      <c r="QH156" s="33"/>
      <c r="QR156" s="33"/>
      <c r="RB156" s="33"/>
      <c r="RL156" s="33"/>
      <c r="RV156" s="33"/>
      <c r="SF156" s="33"/>
      <c r="SP156" s="33"/>
      <c r="SZ156" s="33"/>
      <c r="TJ156" s="33"/>
      <c r="TT156" s="33"/>
      <c r="UD156" s="33"/>
      <c r="UN156" s="33"/>
      <c r="UX156" s="33"/>
      <c r="VH156" s="33"/>
      <c r="VR156" s="33"/>
      <c r="WB156" s="33"/>
      <c r="WL156" s="33"/>
      <c r="WV156" s="33"/>
      <c r="XF156" s="33"/>
      <c r="XP156" s="33"/>
      <c r="XZ156" s="33"/>
      <c r="YJ156" s="33"/>
      <c r="YT156" s="33"/>
      <c r="ZD156" s="33"/>
      <c r="ZN156" s="33"/>
      <c r="ZX156" s="33"/>
      <c r="AAH156" s="33"/>
      <c r="AAR156" s="33"/>
      <c r="ABB156" s="33"/>
      <c r="ABL156" s="33"/>
      <c r="ABV156" s="33"/>
      <c r="ACF156" s="33"/>
      <c r="ACP156" s="33"/>
      <c r="ACZ156" s="33"/>
      <c r="ADJ156" s="33"/>
      <c r="ADT156" s="33"/>
      <c r="AED156" s="33"/>
      <c r="AEN156" s="33"/>
      <c r="AEX156" s="33"/>
      <c r="AFH156" s="33"/>
      <c r="AFR156" s="33"/>
      <c r="AGB156" s="33"/>
      <c r="AGL156" s="33"/>
      <c r="AGV156" s="33"/>
      <c r="AHF156" s="33"/>
      <c r="AHP156" s="33"/>
      <c r="AHZ156" s="33"/>
      <c r="AIJ156" s="33"/>
      <c r="AIT156" s="33"/>
      <c r="AJD156" s="33"/>
      <c r="AJN156" s="33"/>
      <c r="AJX156" s="33"/>
      <c r="AKH156" s="33"/>
      <c r="AKR156" s="33"/>
      <c r="ALB156" s="33"/>
      <c r="ALL156" s="33"/>
      <c r="ALV156" s="33"/>
      <c r="AMF156" s="33"/>
      <c r="AMP156" s="33"/>
      <c r="AMZ156" s="33"/>
      <c r="ANJ156" s="33"/>
      <c r="ANT156" s="33"/>
      <c r="AOD156" s="33"/>
      <c r="AON156" s="33"/>
      <c r="AOX156" s="33"/>
      <c r="APH156" s="33"/>
      <c r="APR156" s="33"/>
      <c r="AQB156" s="33"/>
      <c r="AQL156" s="33"/>
      <c r="AQV156" s="33"/>
      <c r="ARF156" s="33"/>
      <c r="ARP156" s="33"/>
      <c r="ARZ156" s="33"/>
      <c r="ASJ156" s="33"/>
      <c r="AST156" s="33"/>
      <c r="ATD156" s="33"/>
      <c r="ATN156" s="33"/>
      <c r="ATX156" s="33"/>
      <c r="AUH156" s="33"/>
      <c r="AUR156" s="33"/>
      <c r="AVB156" s="33"/>
      <c r="AVL156" s="33"/>
      <c r="AVV156" s="33"/>
      <c r="AWF156" s="33"/>
      <c r="AWP156" s="33"/>
      <c r="AWZ156" s="33"/>
      <c r="AXJ156" s="33"/>
      <c r="AXT156" s="33"/>
      <c r="AYD156" s="33"/>
      <c r="AYN156" s="33"/>
      <c r="AYX156" s="33"/>
      <c r="AZH156" s="33"/>
      <c r="AZR156" s="33"/>
      <c r="BAB156" s="33"/>
      <c r="BAL156" s="33"/>
      <c r="BAV156" s="33"/>
      <c r="BBF156" s="33"/>
      <c r="BBP156" s="33"/>
      <c r="BBZ156" s="33"/>
      <c r="BCJ156" s="33"/>
      <c r="BCT156" s="33"/>
      <c r="BDD156" s="33"/>
      <c r="BDN156" s="33"/>
      <c r="BDX156" s="33"/>
      <c r="BEH156" s="33"/>
      <c r="BER156" s="33"/>
      <c r="BFB156" s="33"/>
      <c r="BFL156" s="33"/>
      <c r="BFV156" s="33"/>
      <c r="BGF156" s="33"/>
      <c r="BGP156" s="33"/>
      <c r="BGZ156" s="33"/>
      <c r="BHJ156" s="33"/>
      <c r="BHT156" s="33"/>
      <c r="BID156" s="33"/>
      <c r="BIN156" s="33"/>
      <c r="BIX156" s="33"/>
      <c r="BJH156" s="33"/>
      <c r="BJR156" s="33"/>
      <c r="BKB156" s="33"/>
      <c r="BKL156" s="33"/>
      <c r="BKV156" s="33"/>
      <c r="BLF156" s="33"/>
      <c r="BLP156" s="33"/>
      <c r="BLZ156" s="33"/>
      <c r="BMJ156" s="33"/>
      <c r="BMT156" s="33"/>
      <c r="BND156" s="33"/>
      <c r="BNN156" s="33"/>
      <c r="BNX156" s="33"/>
      <c r="BOH156" s="33"/>
      <c r="BOR156" s="33"/>
      <c r="BPB156" s="33"/>
      <c r="BPL156" s="33"/>
      <c r="BPV156" s="33"/>
      <c r="BQF156" s="33"/>
      <c r="BQP156" s="33"/>
      <c r="BQZ156" s="33"/>
      <c r="BRJ156" s="33"/>
      <c r="BRT156" s="33"/>
      <c r="BSD156" s="33"/>
      <c r="BSN156" s="33"/>
      <c r="BSX156" s="33"/>
      <c r="BTH156" s="33"/>
      <c r="BTR156" s="33"/>
      <c r="BUB156" s="33"/>
      <c r="BUL156" s="33"/>
      <c r="BUV156" s="33"/>
      <c r="BVF156" s="33"/>
      <c r="BVP156" s="33"/>
      <c r="BVZ156" s="33"/>
      <c r="BWJ156" s="33"/>
      <c r="BWT156" s="33"/>
      <c r="BXD156" s="33"/>
      <c r="BXN156" s="33"/>
      <c r="BXX156" s="33"/>
      <c r="BYH156" s="33"/>
      <c r="BYR156" s="33"/>
      <c r="BZB156" s="33"/>
      <c r="BZL156" s="33"/>
      <c r="BZV156" s="33"/>
      <c r="CAF156" s="33"/>
      <c r="CAP156" s="33"/>
      <c r="CAZ156" s="33"/>
      <c r="CBJ156" s="33"/>
      <c r="CBT156" s="33"/>
      <c r="CCD156" s="33"/>
      <c r="CCN156" s="33"/>
      <c r="CCX156" s="33"/>
      <c r="CDH156" s="33"/>
      <c r="CDR156" s="33"/>
      <c r="CEB156" s="33"/>
      <c r="CEL156" s="33"/>
      <c r="CEV156" s="33"/>
      <c r="CFF156" s="33"/>
      <c r="CFP156" s="33"/>
      <c r="CFZ156" s="33"/>
      <c r="CGJ156" s="33"/>
      <c r="CGT156" s="33"/>
      <c r="CHD156" s="33"/>
      <c r="CHN156" s="33"/>
      <c r="CHX156" s="33"/>
      <c r="CIH156" s="33"/>
      <c r="CIR156" s="33"/>
      <c r="CJB156" s="33"/>
      <c r="CJL156" s="33"/>
      <c r="CJV156" s="33"/>
      <c r="CKF156" s="33"/>
      <c r="CKP156" s="33"/>
      <c r="CKZ156" s="33"/>
      <c r="CLJ156" s="33"/>
      <c r="CLT156" s="33"/>
      <c r="CMD156" s="33"/>
      <c r="CMN156" s="33"/>
      <c r="CMX156" s="33"/>
      <c r="CNH156" s="33"/>
      <c r="CNR156" s="33"/>
      <c r="COB156" s="33"/>
      <c r="COL156" s="33"/>
      <c r="COV156" s="33"/>
      <c r="CPF156" s="33"/>
      <c r="CPP156" s="33"/>
      <c r="CPZ156" s="33"/>
      <c r="CQJ156" s="33"/>
      <c r="CQT156" s="33"/>
      <c r="CRD156" s="33"/>
      <c r="CRN156" s="33"/>
      <c r="CRX156" s="33"/>
      <c r="CSH156" s="33"/>
      <c r="CSR156" s="33"/>
      <c r="CTB156" s="33"/>
      <c r="CTL156" s="33"/>
      <c r="CTV156" s="33"/>
    </row>
    <row r="157" s="16" customFormat="1" customHeight="1" spans="1:1020 1030:2040 2050:2570">
      <c r="A157" s="57"/>
      <c r="B157" s="52"/>
      <c r="C157" s="52"/>
      <c r="D157" s="52"/>
      <c r="E157" s="52"/>
      <c r="F157" s="58" t="str">
        <f>IFERROR(VLOOKUP(E157,日报!E:G,2,0),"")</f>
        <v/>
      </c>
      <c r="G157" s="52"/>
      <c r="H157" s="53" t="str">
        <f>IFERROR(VLOOKUP(E157,基础数据!$E$4:$H$4,4,0),"")</f>
        <v/>
      </c>
      <c r="I157" s="53" t="str">
        <f>IFERROR(VLOOKUP(E157,基础数据!$E$4:$H$4,3,0),"")</f>
        <v/>
      </c>
      <c r="J157" s="52"/>
      <c r="K157" s="54" t="str">
        <f t="shared" si="2"/>
        <v/>
      </c>
      <c r="T157" s="33"/>
      <c r="AD157" s="33"/>
      <c r="AN157" s="33"/>
      <c r="AX157" s="33"/>
      <c r="BH157" s="33"/>
      <c r="BR157" s="33"/>
      <c r="CB157" s="33"/>
      <c r="CL157" s="33"/>
      <c r="CV157" s="33"/>
      <c r="DF157" s="33"/>
      <c r="DP157" s="33"/>
      <c r="DZ157" s="33"/>
      <c r="EJ157" s="33"/>
      <c r="ET157" s="33"/>
      <c r="FD157" s="33"/>
      <c r="FN157" s="33"/>
      <c r="FX157" s="33"/>
      <c r="GH157" s="33"/>
      <c r="GR157" s="33"/>
      <c r="HB157" s="33"/>
      <c r="HL157" s="33"/>
      <c r="HV157" s="33"/>
      <c r="IF157" s="33"/>
      <c r="IP157" s="33"/>
      <c r="IZ157" s="33"/>
      <c r="JJ157" s="33"/>
      <c r="JT157" s="33"/>
      <c r="KD157" s="33"/>
      <c r="KN157" s="33"/>
      <c r="KX157" s="33"/>
      <c r="LH157" s="33"/>
      <c r="LR157" s="33"/>
      <c r="MB157" s="33"/>
      <c r="ML157" s="33"/>
      <c r="MV157" s="33"/>
      <c r="NF157" s="33"/>
      <c r="NP157" s="33"/>
      <c r="NZ157" s="33"/>
      <c r="OJ157" s="33"/>
      <c r="OT157" s="33"/>
      <c r="PD157" s="33"/>
      <c r="PN157" s="33"/>
      <c r="PX157" s="33"/>
      <c r="QH157" s="33"/>
      <c r="QR157" s="33"/>
      <c r="RB157" s="33"/>
      <c r="RL157" s="33"/>
      <c r="RV157" s="33"/>
      <c r="SF157" s="33"/>
      <c r="SP157" s="33"/>
      <c r="SZ157" s="33"/>
      <c r="TJ157" s="33"/>
      <c r="TT157" s="33"/>
      <c r="UD157" s="33"/>
      <c r="UN157" s="33"/>
      <c r="UX157" s="33"/>
      <c r="VH157" s="33"/>
      <c r="VR157" s="33"/>
      <c r="WB157" s="33"/>
      <c r="WL157" s="33"/>
      <c r="WV157" s="33"/>
      <c r="XF157" s="33"/>
      <c r="XP157" s="33"/>
      <c r="XZ157" s="33"/>
      <c r="YJ157" s="33"/>
      <c r="YT157" s="33"/>
      <c r="ZD157" s="33"/>
      <c r="ZN157" s="33"/>
      <c r="ZX157" s="33"/>
      <c r="AAH157" s="33"/>
      <c r="AAR157" s="33"/>
      <c r="ABB157" s="33"/>
      <c r="ABL157" s="33"/>
      <c r="ABV157" s="33"/>
      <c r="ACF157" s="33"/>
      <c r="ACP157" s="33"/>
      <c r="ACZ157" s="33"/>
      <c r="ADJ157" s="33"/>
      <c r="ADT157" s="33"/>
      <c r="AED157" s="33"/>
      <c r="AEN157" s="33"/>
      <c r="AEX157" s="33"/>
      <c r="AFH157" s="33"/>
      <c r="AFR157" s="33"/>
      <c r="AGB157" s="33"/>
      <c r="AGL157" s="33"/>
      <c r="AGV157" s="33"/>
      <c r="AHF157" s="33"/>
      <c r="AHP157" s="33"/>
      <c r="AHZ157" s="33"/>
      <c r="AIJ157" s="33"/>
      <c r="AIT157" s="33"/>
      <c r="AJD157" s="33"/>
      <c r="AJN157" s="33"/>
      <c r="AJX157" s="33"/>
      <c r="AKH157" s="33"/>
      <c r="AKR157" s="33"/>
      <c r="ALB157" s="33"/>
      <c r="ALL157" s="33"/>
      <c r="ALV157" s="33"/>
      <c r="AMF157" s="33"/>
      <c r="AMP157" s="33"/>
      <c r="AMZ157" s="33"/>
      <c r="ANJ157" s="33"/>
      <c r="ANT157" s="33"/>
      <c r="AOD157" s="33"/>
      <c r="AON157" s="33"/>
      <c r="AOX157" s="33"/>
      <c r="APH157" s="33"/>
      <c r="APR157" s="33"/>
      <c r="AQB157" s="33"/>
      <c r="AQL157" s="33"/>
      <c r="AQV157" s="33"/>
      <c r="ARF157" s="33"/>
      <c r="ARP157" s="33"/>
      <c r="ARZ157" s="33"/>
      <c r="ASJ157" s="33"/>
      <c r="AST157" s="33"/>
      <c r="ATD157" s="33"/>
      <c r="ATN157" s="33"/>
      <c r="ATX157" s="33"/>
      <c r="AUH157" s="33"/>
      <c r="AUR157" s="33"/>
      <c r="AVB157" s="33"/>
      <c r="AVL157" s="33"/>
      <c r="AVV157" s="33"/>
      <c r="AWF157" s="33"/>
      <c r="AWP157" s="33"/>
      <c r="AWZ157" s="33"/>
      <c r="AXJ157" s="33"/>
      <c r="AXT157" s="33"/>
      <c r="AYD157" s="33"/>
      <c r="AYN157" s="33"/>
      <c r="AYX157" s="33"/>
      <c r="AZH157" s="33"/>
      <c r="AZR157" s="33"/>
      <c r="BAB157" s="33"/>
      <c r="BAL157" s="33"/>
      <c r="BAV157" s="33"/>
      <c r="BBF157" s="33"/>
      <c r="BBP157" s="33"/>
      <c r="BBZ157" s="33"/>
      <c r="BCJ157" s="33"/>
      <c r="BCT157" s="33"/>
      <c r="BDD157" s="33"/>
      <c r="BDN157" s="33"/>
      <c r="BDX157" s="33"/>
      <c r="BEH157" s="33"/>
      <c r="BER157" s="33"/>
      <c r="BFB157" s="33"/>
      <c r="BFL157" s="33"/>
      <c r="BFV157" s="33"/>
      <c r="BGF157" s="33"/>
      <c r="BGP157" s="33"/>
      <c r="BGZ157" s="33"/>
      <c r="BHJ157" s="33"/>
      <c r="BHT157" s="33"/>
      <c r="BID157" s="33"/>
      <c r="BIN157" s="33"/>
      <c r="BIX157" s="33"/>
      <c r="BJH157" s="33"/>
      <c r="BJR157" s="33"/>
      <c r="BKB157" s="33"/>
      <c r="BKL157" s="33"/>
      <c r="BKV157" s="33"/>
      <c r="BLF157" s="33"/>
      <c r="BLP157" s="33"/>
      <c r="BLZ157" s="33"/>
      <c r="BMJ157" s="33"/>
      <c r="BMT157" s="33"/>
      <c r="BND157" s="33"/>
      <c r="BNN157" s="33"/>
      <c r="BNX157" s="33"/>
      <c r="BOH157" s="33"/>
      <c r="BOR157" s="33"/>
      <c r="BPB157" s="33"/>
      <c r="BPL157" s="33"/>
      <c r="BPV157" s="33"/>
      <c r="BQF157" s="33"/>
      <c r="BQP157" s="33"/>
      <c r="BQZ157" s="33"/>
      <c r="BRJ157" s="33"/>
      <c r="BRT157" s="33"/>
      <c r="BSD157" s="33"/>
      <c r="BSN157" s="33"/>
      <c r="BSX157" s="33"/>
      <c r="BTH157" s="33"/>
      <c r="BTR157" s="33"/>
      <c r="BUB157" s="33"/>
      <c r="BUL157" s="33"/>
      <c r="BUV157" s="33"/>
      <c r="BVF157" s="33"/>
      <c r="BVP157" s="33"/>
      <c r="BVZ157" s="33"/>
      <c r="BWJ157" s="33"/>
      <c r="BWT157" s="33"/>
      <c r="BXD157" s="33"/>
      <c r="BXN157" s="33"/>
      <c r="BXX157" s="33"/>
      <c r="BYH157" s="33"/>
      <c r="BYR157" s="33"/>
      <c r="BZB157" s="33"/>
      <c r="BZL157" s="33"/>
      <c r="BZV157" s="33"/>
      <c r="CAF157" s="33"/>
      <c r="CAP157" s="33"/>
      <c r="CAZ157" s="33"/>
      <c r="CBJ157" s="33"/>
      <c r="CBT157" s="33"/>
      <c r="CCD157" s="33"/>
      <c r="CCN157" s="33"/>
      <c r="CCX157" s="33"/>
      <c r="CDH157" s="33"/>
      <c r="CDR157" s="33"/>
      <c r="CEB157" s="33"/>
      <c r="CEL157" s="33"/>
      <c r="CEV157" s="33"/>
      <c r="CFF157" s="33"/>
      <c r="CFP157" s="33"/>
      <c r="CFZ157" s="33"/>
      <c r="CGJ157" s="33"/>
      <c r="CGT157" s="33"/>
      <c r="CHD157" s="33"/>
      <c r="CHN157" s="33"/>
      <c r="CHX157" s="33"/>
      <c r="CIH157" s="33"/>
      <c r="CIR157" s="33"/>
      <c r="CJB157" s="33"/>
      <c r="CJL157" s="33"/>
      <c r="CJV157" s="33"/>
      <c r="CKF157" s="33"/>
      <c r="CKP157" s="33"/>
      <c r="CKZ157" s="33"/>
      <c r="CLJ157" s="33"/>
      <c r="CLT157" s="33"/>
      <c r="CMD157" s="33"/>
      <c r="CMN157" s="33"/>
      <c r="CMX157" s="33"/>
      <c r="CNH157" s="33"/>
      <c r="CNR157" s="33"/>
      <c r="COB157" s="33"/>
      <c r="COL157" s="33"/>
      <c r="COV157" s="33"/>
      <c r="CPF157" s="33"/>
      <c r="CPP157" s="33"/>
      <c r="CPZ157" s="33"/>
      <c r="CQJ157" s="33"/>
      <c r="CQT157" s="33"/>
      <c r="CRD157" s="33"/>
      <c r="CRN157" s="33"/>
      <c r="CRX157" s="33"/>
      <c r="CSH157" s="33"/>
      <c r="CSR157" s="33"/>
      <c r="CTB157" s="33"/>
      <c r="CTL157" s="33"/>
      <c r="CTV157" s="33"/>
    </row>
    <row r="158" s="16" customFormat="1" customHeight="1" spans="1:1020 1030:2040 2050:2570">
      <c r="A158" s="57"/>
      <c r="B158" s="52"/>
      <c r="C158" s="52"/>
      <c r="D158" s="52"/>
      <c r="E158" s="52"/>
      <c r="F158" s="58" t="str">
        <f>IFERROR(VLOOKUP(E158,日报!E:G,2,0),"")</f>
        <v/>
      </c>
      <c r="G158" s="52"/>
      <c r="H158" s="53" t="str">
        <f>IFERROR(VLOOKUP(E158,基础数据!$E$4:$H$4,4,0),"")</f>
        <v/>
      </c>
      <c r="I158" s="53" t="str">
        <f>IFERROR(VLOOKUP(E158,基础数据!$E$4:$H$4,3,0),"")</f>
        <v/>
      </c>
      <c r="J158" s="52"/>
      <c r="K158" s="54" t="str">
        <f t="shared" si="2"/>
        <v/>
      </c>
      <c r="T158" s="33"/>
      <c r="AD158" s="33"/>
      <c r="AN158" s="33"/>
      <c r="AX158" s="33"/>
      <c r="BH158" s="33"/>
      <c r="BR158" s="33"/>
      <c r="CB158" s="33"/>
      <c r="CL158" s="33"/>
      <c r="CV158" s="33"/>
      <c r="DF158" s="33"/>
      <c r="DP158" s="33"/>
      <c r="DZ158" s="33"/>
      <c r="EJ158" s="33"/>
      <c r="ET158" s="33"/>
      <c r="FD158" s="33"/>
      <c r="FN158" s="33"/>
      <c r="FX158" s="33"/>
      <c r="GH158" s="33"/>
      <c r="GR158" s="33"/>
      <c r="HB158" s="33"/>
      <c r="HL158" s="33"/>
      <c r="HV158" s="33"/>
      <c r="IF158" s="33"/>
      <c r="IP158" s="33"/>
      <c r="IZ158" s="33"/>
      <c r="JJ158" s="33"/>
      <c r="JT158" s="33"/>
      <c r="KD158" s="33"/>
      <c r="KN158" s="33"/>
      <c r="KX158" s="33"/>
      <c r="LH158" s="33"/>
      <c r="LR158" s="33"/>
      <c r="MB158" s="33"/>
      <c r="ML158" s="33"/>
      <c r="MV158" s="33"/>
      <c r="NF158" s="33"/>
      <c r="NP158" s="33"/>
      <c r="NZ158" s="33"/>
      <c r="OJ158" s="33"/>
      <c r="OT158" s="33"/>
      <c r="PD158" s="33"/>
      <c r="PN158" s="33"/>
      <c r="PX158" s="33"/>
      <c r="QH158" s="33"/>
      <c r="QR158" s="33"/>
      <c r="RB158" s="33"/>
      <c r="RL158" s="33"/>
      <c r="RV158" s="33"/>
      <c r="SF158" s="33"/>
      <c r="SP158" s="33"/>
      <c r="SZ158" s="33"/>
      <c r="TJ158" s="33"/>
      <c r="TT158" s="33"/>
      <c r="UD158" s="33"/>
      <c r="UN158" s="33"/>
      <c r="UX158" s="33"/>
      <c r="VH158" s="33"/>
      <c r="VR158" s="33"/>
      <c r="WB158" s="33"/>
      <c r="WL158" s="33"/>
      <c r="WV158" s="33"/>
      <c r="XF158" s="33"/>
      <c r="XP158" s="33"/>
      <c r="XZ158" s="33"/>
      <c r="YJ158" s="33"/>
      <c r="YT158" s="33"/>
      <c r="ZD158" s="33"/>
      <c r="ZN158" s="33"/>
      <c r="ZX158" s="33"/>
      <c r="AAH158" s="33"/>
      <c r="AAR158" s="33"/>
      <c r="ABB158" s="33"/>
      <c r="ABL158" s="33"/>
      <c r="ABV158" s="33"/>
      <c r="ACF158" s="33"/>
      <c r="ACP158" s="33"/>
      <c r="ACZ158" s="33"/>
      <c r="ADJ158" s="33"/>
      <c r="ADT158" s="33"/>
      <c r="AED158" s="33"/>
      <c r="AEN158" s="33"/>
      <c r="AEX158" s="33"/>
      <c r="AFH158" s="33"/>
      <c r="AFR158" s="33"/>
      <c r="AGB158" s="33"/>
      <c r="AGL158" s="33"/>
      <c r="AGV158" s="33"/>
      <c r="AHF158" s="33"/>
      <c r="AHP158" s="33"/>
      <c r="AHZ158" s="33"/>
      <c r="AIJ158" s="33"/>
      <c r="AIT158" s="33"/>
      <c r="AJD158" s="33"/>
      <c r="AJN158" s="33"/>
      <c r="AJX158" s="33"/>
      <c r="AKH158" s="33"/>
      <c r="AKR158" s="33"/>
      <c r="ALB158" s="33"/>
      <c r="ALL158" s="33"/>
      <c r="ALV158" s="33"/>
      <c r="AMF158" s="33"/>
      <c r="AMP158" s="33"/>
      <c r="AMZ158" s="33"/>
      <c r="ANJ158" s="33"/>
      <c r="ANT158" s="33"/>
      <c r="AOD158" s="33"/>
      <c r="AON158" s="33"/>
      <c r="AOX158" s="33"/>
      <c r="APH158" s="33"/>
      <c r="APR158" s="33"/>
      <c r="AQB158" s="33"/>
      <c r="AQL158" s="33"/>
      <c r="AQV158" s="33"/>
      <c r="ARF158" s="33"/>
      <c r="ARP158" s="33"/>
      <c r="ARZ158" s="33"/>
      <c r="ASJ158" s="33"/>
      <c r="AST158" s="33"/>
      <c r="ATD158" s="33"/>
      <c r="ATN158" s="33"/>
      <c r="ATX158" s="33"/>
      <c r="AUH158" s="33"/>
      <c r="AUR158" s="33"/>
      <c r="AVB158" s="33"/>
      <c r="AVL158" s="33"/>
      <c r="AVV158" s="33"/>
      <c r="AWF158" s="33"/>
      <c r="AWP158" s="33"/>
      <c r="AWZ158" s="33"/>
      <c r="AXJ158" s="33"/>
      <c r="AXT158" s="33"/>
      <c r="AYD158" s="33"/>
      <c r="AYN158" s="33"/>
      <c r="AYX158" s="33"/>
      <c r="AZH158" s="33"/>
      <c r="AZR158" s="33"/>
      <c r="BAB158" s="33"/>
      <c r="BAL158" s="33"/>
      <c r="BAV158" s="33"/>
      <c r="BBF158" s="33"/>
      <c r="BBP158" s="33"/>
      <c r="BBZ158" s="33"/>
      <c r="BCJ158" s="33"/>
      <c r="BCT158" s="33"/>
      <c r="BDD158" s="33"/>
      <c r="BDN158" s="33"/>
      <c r="BDX158" s="33"/>
      <c r="BEH158" s="33"/>
      <c r="BER158" s="33"/>
      <c r="BFB158" s="33"/>
      <c r="BFL158" s="33"/>
      <c r="BFV158" s="33"/>
      <c r="BGF158" s="33"/>
      <c r="BGP158" s="33"/>
      <c r="BGZ158" s="33"/>
      <c r="BHJ158" s="33"/>
      <c r="BHT158" s="33"/>
      <c r="BID158" s="33"/>
      <c r="BIN158" s="33"/>
      <c r="BIX158" s="33"/>
      <c r="BJH158" s="33"/>
      <c r="BJR158" s="33"/>
      <c r="BKB158" s="33"/>
      <c r="BKL158" s="33"/>
      <c r="BKV158" s="33"/>
      <c r="BLF158" s="33"/>
      <c r="BLP158" s="33"/>
      <c r="BLZ158" s="33"/>
      <c r="BMJ158" s="33"/>
      <c r="BMT158" s="33"/>
      <c r="BND158" s="33"/>
      <c r="BNN158" s="33"/>
      <c r="BNX158" s="33"/>
      <c r="BOH158" s="33"/>
      <c r="BOR158" s="33"/>
      <c r="BPB158" s="33"/>
      <c r="BPL158" s="33"/>
      <c r="BPV158" s="33"/>
      <c r="BQF158" s="33"/>
      <c r="BQP158" s="33"/>
      <c r="BQZ158" s="33"/>
      <c r="BRJ158" s="33"/>
      <c r="BRT158" s="33"/>
      <c r="BSD158" s="33"/>
      <c r="BSN158" s="33"/>
      <c r="BSX158" s="33"/>
      <c r="BTH158" s="33"/>
      <c r="BTR158" s="33"/>
      <c r="BUB158" s="33"/>
      <c r="BUL158" s="33"/>
      <c r="BUV158" s="33"/>
      <c r="BVF158" s="33"/>
      <c r="BVP158" s="33"/>
      <c r="BVZ158" s="33"/>
      <c r="BWJ158" s="33"/>
      <c r="BWT158" s="33"/>
      <c r="BXD158" s="33"/>
      <c r="BXN158" s="33"/>
      <c r="BXX158" s="33"/>
      <c r="BYH158" s="33"/>
      <c r="BYR158" s="33"/>
      <c r="BZB158" s="33"/>
      <c r="BZL158" s="33"/>
      <c r="BZV158" s="33"/>
      <c r="CAF158" s="33"/>
      <c r="CAP158" s="33"/>
      <c r="CAZ158" s="33"/>
      <c r="CBJ158" s="33"/>
      <c r="CBT158" s="33"/>
      <c r="CCD158" s="33"/>
      <c r="CCN158" s="33"/>
      <c r="CCX158" s="33"/>
      <c r="CDH158" s="33"/>
      <c r="CDR158" s="33"/>
      <c r="CEB158" s="33"/>
      <c r="CEL158" s="33"/>
      <c r="CEV158" s="33"/>
      <c r="CFF158" s="33"/>
      <c r="CFP158" s="33"/>
      <c r="CFZ158" s="33"/>
      <c r="CGJ158" s="33"/>
      <c r="CGT158" s="33"/>
      <c r="CHD158" s="33"/>
      <c r="CHN158" s="33"/>
      <c r="CHX158" s="33"/>
      <c r="CIH158" s="33"/>
      <c r="CIR158" s="33"/>
      <c r="CJB158" s="33"/>
      <c r="CJL158" s="33"/>
      <c r="CJV158" s="33"/>
      <c r="CKF158" s="33"/>
      <c r="CKP158" s="33"/>
      <c r="CKZ158" s="33"/>
      <c r="CLJ158" s="33"/>
      <c r="CLT158" s="33"/>
      <c r="CMD158" s="33"/>
      <c r="CMN158" s="33"/>
      <c r="CMX158" s="33"/>
      <c r="CNH158" s="33"/>
      <c r="CNR158" s="33"/>
      <c r="COB158" s="33"/>
      <c r="COL158" s="33"/>
      <c r="COV158" s="33"/>
      <c r="CPF158" s="33"/>
      <c r="CPP158" s="33"/>
      <c r="CPZ158" s="33"/>
      <c r="CQJ158" s="33"/>
      <c r="CQT158" s="33"/>
      <c r="CRD158" s="33"/>
      <c r="CRN158" s="33"/>
      <c r="CRX158" s="33"/>
      <c r="CSH158" s="33"/>
      <c r="CSR158" s="33"/>
      <c r="CTB158" s="33"/>
      <c r="CTL158" s="33"/>
      <c r="CTV158" s="33"/>
    </row>
    <row r="159" s="16" customFormat="1" customHeight="1" spans="1:1020 1030:2040 2050:2570">
      <c r="A159" s="57"/>
      <c r="B159" s="52"/>
      <c r="C159" s="52"/>
      <c r="D159" s="52"/>
      <c r="E159" s="52"/>
      <c r="F159" s="58" t="str">
        <f>IFERROR(VLOOKUP(E159,日报!E:G,2,0),"")</f>
        <v/>
      </c>
      <c r="G159" s="52"/>
      <c r="H159" s="53" t="str">
        <f>IFERROR(VLOOKUP(E159,基础数据!$E$4:$H$4,4,0),"")</f>
        <v/>
      </c>
      <c r="I159" s="53" t="str">
        <f>IFERROR(VLOOKUP(E159,基础数据!$E$4:$H$4,3,0),"")</f>
        <v/>
      </c>
      <c r="J159" s="52"/>
      <c r="K159" s="54" t="str">
        <f t="shared" si="2"/>
        <v/>
      </c>
      <c r="T159" s="33"/>
      <c r="AD159" s="33"/>
      <c r="AN159" s="33"/>
      <c r="AX159" s="33"/>
      <c r="BH159" s="33"/>
      <c r="BR159" s="33"/>
      <c r="CB159" s="33"/>
      <c r="CL159" s="33"/>
      <c r="CV159" s="33"/>
      <c r="DF159" s="33"/>
      <c r="DP159" s="33"/>
      <c r="DZ159" s="33"/>
      <c r="EJ159" s="33"/>
      <c r="ET159" s="33"/>
      <c r="FD159" s="33"/>
      <c r="FN159" s="33"/>
      <c r="FX159" s="33"/>
      <c r="GH159" s="33"/>
      <c r="GR159" s="33"/>
      <c r="HB159" s="33"/>
      <c r="HL159" s="33"/>
      <c r="HV159" s="33"/>
      <c r="IF159" s="33"/>
      <c r="IP159" s="33"/>
      <c r="IZ159" s="33"/>
      <c r="JJ159" s="33"/>
      <c r="JT159" s="33"/>
      <c r="KD159" s="33"/>
      <c r="KN159" s="33"/>
      <c r="KX159" s="33"/>
      <c r="LH159" s="33"/>
      <c r="LR159" s="33"/>
      <c r="MB159" s="33"/>
      <c r="ML159" s="33"/>
      <c r="MV159" s="33"/>
      <c r="NF159" s="33"/>
      <c r="NP159" s="33"/>
      <c r="NZ159" s="33"/>
      <c r="OJ159" s="33"/>
      <c r="OT159" s="33"/>
      <c r="PD159" s="33"/>
      <c r="PN159" s="33"/>
      <c r="PX159" s="33"/>
      <c r="QH159" s="33"/>
      <c r="QR159" s="33"/>
      <c r="RB159" s="33"/>
      <c r="RL159" s="33"/>
      <c r="RV159" s="33"/>
      <c r="SF159" s="33"/>
      <c r="SP159" s="33"/>
      <c r="SZ159" s="33"/>
      <c r="TJ159" s="33"/>
      <c r="TT159" s="33"/>
      <c r="UD159" s="33"/>
      <c r="UN159" s="33"/>
      <c r="UX159" s="33"/>
      <c r="VH159" s="33"/>
      <c r="VR159" s="33"/>
      <c r="WB159" s="33"/>
      <c r="WL159" s="33"/>
      <c r="WV159" s="33"/>
      <c r="XF159" s="33"/>
      <c r="XP159" s="33"/>
      <c r="XZ159" s="33"/>
      <c r="YJ159" s="33"/>
      <c r="YT159" s="33"/>
      <c r="ZD159" s="33"/>
      <c r="ZN159" s="33"/>
      <c r="ZX159" s="33"/>
      <c r="AAH159" s="33"/>
      <c r="AAR159" s="33"/>
      <c r="ABB159" s="33"/>
      <c r="ABL159" s="33"/>
      <c r="ABV159" s="33"/>
      <c r="ACF159" s="33"/>
      <c r="ACP159" s="33"/>
      <c r="ACZ159" s="33"/>
      <c r="ADJ159" s="33"/>
      <c r="ADT159" s="33"/>
      <c r="AED159" s="33"/>
      <c r="AEN159" s="33"/>
      <c r="AEX159" s="33"/>
      <c r="AFH159" s="33"/>
      <c r="AFR159" s="33"/>
      <c r="AGB159" s="33"/>
      <c r="AGL159" s="33"/>
      <c r="AGV159" s="33"/>
      <c r="AHF159" s="33"/>
      <c r="AHP159" s="33"/>
      <c r="AHZ159" s="33"/>
      <c r="AIJ159" s="33"/>
      <c r="AIT159" s="33"/>
      <c r="AJD159" s="33"/>
      <c r="AJN159" s="33"/>
      <c r="AJX159" s="33"/>
      <c r="AKH159" s="33"/>
      <c r="AKR159" s="33"/>
      <c r="ALB159" s="33"/>
      <c r="ALL159" s="33"/>
      <c r="ALV159" s="33"/>
      <c r="AMF159" s="33"/>
      <c r="AMP159" s="33"/>
      <c r="AMZ159" s="33"/>
      <c r="ANJ159" s="33"/>
      <c r="ANT159" s="33"/>
      <c r="AOD159" s="33"/>
      <c r="AON159" s="33"/>
      <c r="AOX159" s="33"/>
      <c r="APH159" s="33"/>
      <c r="APR159" s="33"/>
      <c r="AQB159" s="33"/>
      <c r="AQL159" s="33"/>
      <c r="AQV159" s="33"/>
      <c r="ARF159" s="33"/>
      <c r="ARP159" s="33"/>
      <c r="ARZ159" s="33"/>
      <c r="ASJ159" s="33"/>
      <c r="AST159" s="33"/>
      <c r="ATD159" s="33"/>
      <c r="ATN159" s="33"/>
      <c r="ATX159" s="33"/>
      <c r="AUH159" s="33"/>
      <c r="AUR159" s="33"/>
      <c r="AVB159" s="33"/>
      <c r="AVL159" s="33"/>
      <c r="AVV159" s="33"/>
      <c r="AWF159" s="33"/>
      <c r="AWP159" s="33"/>
      <c r="AWZ159" s="33"/>
      <c r="AXJ159" s="33"/>
      <c r="AXT159" s="33"/>
      <c r="AYD159" s="33"/>
      <c r="AYN159" s="33"/>
      <c r="AYX159" s="33"/>
      <c r="AZH159" s="33"/>
      <c r="AZR159" s="33"/>
      <c r="BAB159" s="33"/>
      <c r="BAL159" s="33"/>
      <c r="BAV159" s="33"/>
      <c r="BBF159" s="33"/>
      <c r="BBP159" s="33"/>
      <c r="BBZ159" s="33"/>
      <c r="BCJ159" s="33"/>
      <c r="BCT159" s="33"/>
      <c r="BDD159" s="33"/>
      <c r="BDN159" s="33"/>
      <c r="BDX159" s="33"/>
      <c r="BEH159" s="33"/>
      <c r="BER159" s="33"/>
      <c r="BFB159" s="33"/>
      <c r="BFL159" s="33"/>
      <c r="BFV159" s="33"/>
      <c r="BGF159" s="33"/>
      <c r="BGP159" s="33"/>
      <c r="BGZ159" s="33"/>
      <c r="BHJ159" s="33"/>
      <c r="BHT159" s="33"/>
      <c r="BID159" s="33"/>
      <c r="BIN159" s="33"/>
      <c r="BIX159" s="33"/>
      <c r="BJH159" s="33"/>
      <c r="BJR159" s="33"/>
      <c r="BKB159" s="33"/>
      <c r="BKL159" s="33"/>
      <c r="BKV159" s="33"/>
      <c r="BLF159" s="33"/>
      <c r="BLP159" s="33"/>
      <c r="BLZ159" s="33"/>
      <c r="BMJ159" s="33"/>
      <c r="BMT159" s="33"/>
      <c r="BND159" s="33"/>
      <c r="BNN159" s="33"/>
      <c r="BNX159" s="33"/>
      <c r="BOH159" s="33"/>
      <c r="BOR159" s="33"/>
      <c r="BPB159" s="33"/>
      <c r="BPL159" s="33"/>
      <c r="BPV159" s="33"/>
      <c r="BQF159" s="33"/>
      <c r="BQP159" s="33"/>
      <c r="BQZ159" s="33"/>
      <c r="BRJ159" s="33"/>
      <c r="BRT159" s="33"/>
      <c r="BSD159" s="33"/>
      <c r="BSN159" s="33"/>
      <c r="BSX159" s="33"/>
      <c r="BTH159" s="33"/>
      <c r="BTR159" s="33"/>
      <c r="BUB159" s="33"/>
      <c r="BUL159" s="33"/>
      <c r="BUV159" s="33"/>
      <c r="BVF159" s="33"/>
      <c r="BVP159" s="33"/>
      <c r="BVZ159" s="33"/>
      <c r="BWJ159" s="33"/>
      <c r="BWT159" s="33"/>
      <c r="BXD159" s="33"/>
      <c r="BXN159" s="33"/>
      <c r="BXX159" s="33"/>
      <c r="BYH159" s="33"/>
      <c r="BYR159" s="33"/>
      <c r="BZB159" s="33"/>
      <c r="BZL159" s="33"/>
      <c r="BZV159" s="33"/>
      <c r="CAF159" s="33"/>
      <c r="CAP159" s="33"/>
      <c r="CAZ159" s="33"/>
      <c r="CBJ159" s="33"/>
      <c r="CBT159" s="33"/>
      <c r="CCD159" s="33"/>
      <c r="CCN159" s="33"/>
      <c r="CCX159" s="33"/>
      <c r="CDH159" s="33"/>
      <c r="CDR159" s="33"/>
      <c r="CEB159" s="33"/>
      <c r="CEL159" s="33"/>
      <c r="CEV159" s="33"/>
      <c r="CFF159" s="33"/>
      <c r="CFP159" s="33"/>
      <c r="CFZ159" s="33"/>
      <c r="CGJ159" s="33"/>
      <c r="CGT159" s="33"/>
      <c r="CHD159" s="33"/>
      <c r="CHN159" s="33"/>
      <c r="CHX159" s="33"/>
      <c r="CIH159" s="33"/>
      <c r="CIR159" s="33"/>
      <c r="CJB159" s="33"/>
      <c r="CJL159" s="33"/>
      <c r="CJV159" s="33"/>
      <c r="CKF159" s="33"/>
      <c r="CKP159" s="33"/>
      <c r="CKZ159" s="33"/>
      <c r="CLJ159" s="33"/>
      <c r="CLT159" s="33"/>
      <c r="CMD159" s="33"/>
      <c r="CMN159" s="33"/>
      <c r="CMX159" s="33"/>
      <c r="CNH159" s="33"/>
      <c r="CNR159" s="33"/>
      <c r="COB159" s="33"/>
      <c r="COL159" s="33"/>
      <c r="COV159" s="33"/>
      <c r="CPF159" s="33"/>
      <c r="CPP159" s="33"/>
      <c r="CPZ159" s="33"/>
      <c r="CQJ159" s="33"/>
      <c r="CQT159" s="33"/>
      <c r="CRD159" s="33"/>
      <c r="CRN159" s="33"/>
      <c r="CRX159" s="33"/>
      <c r="CSH159" s="33"/>
      <c r="CSR159" s="33"/>
      <c r="CTB159" s="33"/>
      <c r="CTL159" s="33"/>
      <c r="CTV159" s="33"/>
    </row>
    <row r="160" s="16" customFormat="1" customHeight="1" spans="1:1020 1030:2040 2050:2570">
      <c r="A160" s="57"/>
      <c r="B160" s="52"/>
      <c r="C160" s="52"/>
      <c r="D160" s="52"/>
      <c r="E160" s="52"/>
      <c r="F160" s="58" t="str">
        <f>IFERROR(VLOOKUP(E160,日报!E:G,2,0),"")</f>
        <v/>
      </c>
      <c r="G160" s="52"/>
      <c r="H160" s="53" t="str">
        <f>IFERROR(VLOOKUP(E160,基础数据!$E$4:$H$4,4,0),"")</f>
        <v/>
      </c>
      <c r="I160" s="53" t="str">
        <f>IFERROR(VLOOKUP(E160,基础数据!$E$4:$H$4,3,0),"")</f>
        <v/>
      </c>
      <c r="J160" s="52"/>
      <c r="K160" s="54" t="str">
        <f t="shared" si="2"/>
        <v/>
      </c>
      <c r="T160" s="33"/>
      <c r="AD160" s="33"/>
      <c r="AN160" s="33"/>
      <c r="AX160" s="33"/>
      <c r="BH160" s="33"/>
      <c r="BR160" s="33"/>
      <c r="CB160" s="33"/>
      <c r="CL160" s="33"/>
      <c r="CV160" s="33"/>
      <c r="DF160" s="33"/>
      <c r="DP160" s="33"/>
      <c r="DZ160" s="33"/>
      <c r="EJ160" s="33"/>
      <c r="ET160" s="33"/>
      <c r="FD160" s="33"/>
      <c r="FN160" s="33"/>
      <c r="FX160" s="33"/>
      <c r="GH160" s="33"/>
      <c r="GR160" s="33"/>
      <c r="HB160" s="33"/>
      <c r="HL160" s="33"/>
      <c r="HV160" s="33"/>
      <c r="IF160" s="33"/>
      <c r="IP160" s="33"/>
      <c r="IZ160" s="33"/>
      <c r="JJ160" s="33"/>
      <c r="JT160" s="33"/>
      <c r="KD160" s="33"/>
      <c r="KN160" s="33"/>
      <c r="KX160" s="33"/>
      <c r="LH160" s="33"/>
      <c r="LR160" s="33"/>
      <c r="MB160" s="33"/>
      <c r="ML160" s="33"/>
      <c r="MV160" s="33"/>
      <c r="NF160" s="33"/>
      <c r="NP160" s="33"/>
      <c r="NZ160" s="33"/>
      <c r="OJ160" s="33"/>
      <c r="OT160" s="33"/>
      <c r="PD160" s="33"/>
      <c r="PN160" s="33"/>
      <c r="PX160" s="33"/>
      <c r="QH160" s="33"/>
      <c r="QR160" s="33"/>
      <c r="RB160" s="33"/>
      <c r="RL160" s="33"/>
      <c r="RV160" s="33"/>
      <c r="SF160" s="33"/>
      <c r="SP160" s="33"/>
      <c r="SZ160" s="33"/>
      <c r="TJ160" s="33"/>
      <c r="TT160" s="33"/>
      <c r="UD160" s="33"/>
      <c r="UN160" s="33"/>
      <c r="UX160" s="33"/>
      <c r="VH160" s="33"/>
      <c r="VR160" s="33"/>
      <c r="WB160" s="33"/>
      <c r="WL160" s="33"/>
      <c r="WV160" s="33"/>
      <c r="XF160" s="33"/>
      <c r="XP160" s="33"/>
      <c r="XZ160" s="33"/>
      <c r="YJ160" s="33"/>
      <c r="YT160" s="33"/>
      <c r="ZD160" s="33"/>
      <c r="ZN160" s="33"/>
      <c r="ZX160" s="33"/>
      <c r="AAH160" s="33"/>
      <c r="AAR160" s="33"/>
      <c r="ABB160" s="33"/>
      <c r="ABL160" s="33"/>
      <c r="ABV160" s="33"/>
      <c r="ACF160" s="33"/>
      <c r="ACP160" s="33"/>
      <c r="ACZ160" s="33"/>
      <c r="ADJ160" s="33"/>
      <c r="ADT160" s="33"/>
      <c r="AED160" s="33"/>
      <c r="AEN160" s="33"/>
      <c r="AEX160" s="33"/>
      <c r="AFH160" s="33"/>
      <c r="AFR160" s="33"/>
      <c r="AGB160" s="33"/>
      <c r="AGL160" s="33"/>
      <c r="AGV160" s="33"/>
      <c r="AHF160" s="33"/>
      <c r="AHP160" s="33"/>
      <c r="AHZ160" s="33"/>
      <c r="AIJ160" s="33"/>
      <c r="AIT160" s="33"/>
      <c r="AJD160" s="33"/>
      <c r="AJN160" s="33"/>
      <c r="AJX160" s="33"/>
      <c r="AKH160" s="33"/>
      <c r="AKR160" s="33"/>
      <c r="ALB160" s="33"/>
      <c r="ALL160" s="33"/>
      <c r="ALV160" s="33"/>
      <c r="AMF160" s="33"/>
      <c r="AMP160" s="33"/>
      <c r="AMZ160" s="33"/>
      <c r="ANJ160" s="33"/>
      <c r="ANT160" s="33"/>
      <c r="AOD160" s="33"/>
      <c r="AON160" s="33"/>
      <c r="AOX160" s="33"/>
      <c r="APH160" s="33"/>
      <c r="APR160" s="33"/>
      <c r="AQB160" s="33"/>
      <c r="AQL160" s="33"/>
      <c r="AQV160" s="33"/>
      <c r="ARF160" s="33"/>
      <c r="ARP160" s="33"/>
      <c r="ARZ160" s="33"/>
      <c r="ASJ160" s="33"/>
      <c r="AST160" s="33"/>
      <c r="ATD160" s="33"/>
      <c r="ATN160" s="33"/>
      <c r="ATX160" s="33"/>
      <c r="AUH160" s="33"/>
      <c r="AUR160" s="33"/>
      <c r="AVB160" s="33"/>
      <c r="AVL160" s="33"/>
      <c r="AVV160" s="33"/>
      <c r="AWF160" s="33"/>
      <c r="AWP160" s="33"/>
      <c r="AWZ160" s="33"/>
      <c r="AXJ160" s="33"/>
      <c r="AXT160" s="33"/>
      <c r="AYD160" s="33"/>
      <c r="AYN160" s="33"/>
      <c r="AYX160" s="33"/>
      <c r="AZH160" s="33"/>
      <c r="AZR160" s="33"/>
      <c r="BAB160" s="33"/>
      <c r="BAL160" s="33"/>
      <c r="BAV160" s="33"/>
      <c r="BBF160" s="33"/>
      <c r="BBP160" s="33"/>
      <c r="BBZ160" s="33"/>
      <c r="BCJ160" s="33"/>
      <c r="BCT160" s="33"/>
      <c r="BDD160" s="33"/>
      <c r="BDN160" s="33"/>
      <c r="BDX160" s="33"/>
      <c r="BEH160" s="33"/>
      <c r="BER160" s="33"/>
      <c r="BFB160" s="33"/>
      <c r="BFL160" s="33"/>
      <c r="BFV160" s="33"/>
      <c r="BGF160" s="33"/>
      <c r="BGP160" s="33"/>
      <c r="BGZ160" s="33"/>
      <c r="BHJ160" s="33"/>
      <c r="BHT160" s="33"/>
      <c r="BID160" s="33"/>
      <c r="BIN160" s="33"/>
      <c r="BIX160" s="33"/>
      <c r="BJH160" s="33"/>
      <c r="BJR160" s="33"/>
      <c r="BKB160" s="33"/>
      <c r="BKL160" s="33"/>
      <c r="BKV160" s="33"/>
      <c r="BLF160" s="33"/>
      <c r="BLP160" s="33"/>
      <c r="BLZ160" s="33"/>
      <c r="BMJ160" s="33"/>
      <c r="BMT160" s="33"/>
      <c r="BND160" s="33"/>
      <c r="BNN160" s="33"/>
      <c r="BNX160" s="33"/>
      <c r="BOH160" s="33"/>
      <c r="BOR160" s="33"/>
      <c r="BPB160" s="33"/>
      <c r="BPL160" s="33"/>
      <c r="BPV160" s="33"/>
      <c r="BQF160" s="33"/>
      <c r="BQP160" s="33"/>
      <c r="BQZ160" s="33"/>
      <c r="BRJ160" s="33"/>
      <c r="BRT160" s="33"/>
      <c r="BSD160" s="33"/>
      <c r="BSN160" s="33"/>
      <c r="BSX160" s="33"/>
      <c r="BTH160" s="33"/>
      <c r="BTR160" s="33"/>
      <c r="BUB160" s="33"/>
      <c r="BUL160" s="33"/>
      <c r="BUV160" s="33"/>
      <c r="BVF160" s="33"/>
      <c r="BVP160" s="33"/>
      <c r="BVZ160" s="33"/>
      <c r="BWJ160" s="33"/>
      <c r="BWT160" s="33"/>
      <c r="BXD160" s="33"/>
      <c r="BXN160" s="33"/>
      <c r="BXX160" s="33"/>
      <c r="BYH160" s="33"/>
      <c r="BYR160" s="33"/>
      <c r="BZB160" s="33"/>
      <c r="BZL160" s="33"/>
      <c r="BZV160" s="33"/>
      <c r="CAF160" s="33"/>
      <c r="CAP160" s="33"/>
      <c r="CAZ160" s="33"/>
      <c r="CBJ160" s="33"/>
      <c r="CBT160" s="33"/>
      <c r="CCD160" s="33"/>
      <c r="CCN160" s="33"/>
      <c r="CCX160" s="33"/>
      <c r="CDH160" s="33"/>
      <c r="CDR160" s="33"/>
      <c r="CEB160" s="33"/>
      <c r="CEL160" s="33"/>
      <c r="CEV160" s="33"/>
      <c r="CFF160" s="33"/>
      <c r="CFP160" s="33"/>
      <c r="CFZ160" s="33"/>
      <c r="CGJ160" s="33"/>
      <c r="CGT160" s="33"/>
      <c r="CHD160" s="33"/>
      <c r="CHN160" s="33"/>
      <c r="CHX160" s="33"/>
      <c r="CIH160" s="33"/>
      <c r="CIR160" s="33"/>
      <c r="CJB160" s="33"/>
      <c r="CJL160" s="33"/>
      <c r="CJV160" s="33"/>
      <c r="CKF160" s="33"/>
      <c r="CKP160" s="33"/>
      <c r="CKZ160" s="33"/>
      <c r="CLJ160" s="33"/>
      <c r="CLT160" s="33"/>
      <c r="CMD160" s="33"/>
      <c r="CMN160" s="33"/>
      <c r="CMX160" s="33"/>
      <c r="CNH160" s="33"/>
      <c r="CNR160" s="33"/>
      <c r="COB160" s="33"/>
      <c r="COL160" s="33"/>
      <c r="COV160" s="33"/>
      <c r="CPF160" s="33"/>
      <c r="CPP160" s="33"/>
      <c r="CPZ160" s="33"/>
      <c r="CQJ160" s="33"/>
      <c r="CQT160" s="33"/>
      <c r="CRD160" s="33"/>
      <c r="CRN160" s="33"/>
      <c r="CRX160" s="33"/>
      <c r="CSH160" s="33"/>
      <c r="CSR160" s="33"/>
      <c r="CTB160" s="33"/>
      <c r="CTL160" s="33"/>
      <c r="CTV160" s="33"/>
    </row>
    <row r="161" s="16" customFormat="1" customHeight="1" spans="1:1020 1030:2040 2050:2570">
      <c r="A161" s="57"/>
      <c r="B161" s="52"/>
      <c r="C161" s="52"/>
      <c r="D161" s="52"/>
      <c r="E161" s="52"/>
      <c r="F161" s="58" t="str">
        <f>IFERROR(VLOOKUP(E161,日报!E:G,2,0),"")</f>
        <v/>
      </c>
      <c r="G161" s="52"/>
      <c r="H161" s="53" t="str">
        <f>IFERROR(VLOOKUP(E161,基础数据!$E$4:$H$4,4,0),"")</f>
        <v/>
      </c>
      <c r="I161" s="53" t="str">
        <f>IFERROR(VLOOKUP(E161,基础数据!$E$4:$H$4,3,0),"")</f>
        <v/>
      </c>
      <c r="J161" s="52"/>
      <c r="K161" s="54" t="str">
        <f t="shared" si="2"/>
        <v/>
      </c>
      <c r="T161" s="33"/>
      <c r="AD161" s="33"/>
      <c r="AN161" s="33"/>
      <c r="AX161" s="33"/>
      <c r="BH161" s="33"/>
      <c r="BR161" s="33"/>
      <c r="CB161" s="33"/>
      <c r="CL161" s="33"/>
      <c r="CV161" s="33"/>
      <c r="DF161" s="33"/>
      <c r="DP161" s="33"/>
      <c r="DZ161" s="33"/>
      <c r="EJ161" s="33"/>
      <c r="ET161" s="33"/>
      <c r="FD161" s="33"/>
      <c r="FN161" s="33"/>
      <c r="FX161" s="33"/>
      <c r="GH161" s="33"/>
      <c r="GR161" s="33"/>
      <c r="HB161" s="33"/>
      <c r="HL161" s="33"/>
      <c r="HV161" s="33"/>
      <c r="IF161" s="33"/>
      <c r="IP161" s="33"/>
      <c r="IZ161" s="33"/>
      <c r="JJ161" s="33"/>
      <c r="JT161" s="33"/>
      <c r="KD161" s="33"/>
      <c r="KN161" s="33"/>
      <c r="KX161" s="33"/>
      <c r="LH161" s="33"/>
      <c r="LR161" s="33"/>
      <c r="MB161" s="33"/>
      <c r="ML161" s="33"/>
      <c r="MV161" s="33"/>
      <c r="NF161" s="33"/>
      <c r="NP161" s="33"/>
      <c r="NZ161" s="33"/>
      <c r="OJ161" s="33"/>
      <c r="OT161" s="33"/>
      <c r="PD161" s="33"/>
      <c r="PN161" s="33"/>
      <c r="PX161" s="33"/>
      <c r="QH161" s="33"/>
      <c r="QR161" s="33"/>
      <c r="RB161" s="33"/>
      <c r="RL161" s="33"/>
      <c r="RV161" s="33"/>
      <c r="SF161" s="33"/>
      <c r="SP161" s="33"/>
      <c r="SZ161" s="33"/>
      <c r="TJ161" s="33"/>
      <c r="TT161" s="33"/>
      <c r="UD161" s="33"/>
      <c r="UN161" s="33"/>
      <c r="UX161" s="33"/>
      <c r="VH161" s="33"/>
      <c r="VR161" s="33"/>
      <c r="WB161" s="33"/>
      <c r="WL161" s="33"/>
      <c r="WV161" s="33"/>
      <c r="XF161" s="33"/>
      <c r="XP161" s="33"/>
      <c r="XZ161" s="33"/>
      <c r="YJ161" s="33"/>
      <c r="YT161" s="33"/>
      <c r="ZD161" s="33"/>
      <c r="ZN161" s="33"/>
      <c r="ZX161" s="33"/>
      <c r="AAH161" s="33"/>
      <c r="AAR161" s="33"/>
      <c r="ABB161" s="33"/>
      <c r="ABL161" s="33"/>
      <c r="ABV161" s="33"/>
      <c r="ACF161" s="33"/>
      <c r="ACP161" s="33"/>
      <c r="ACZ161" s="33"/>
      <c r="ADJ161" s="33"/>
      <c r="ADT161" s="33"/>
      <c r="AED161" s="33"/>
      <c r="AEN161" s="33"/>
      <c r="AEX161" s="33"/>
      <c r="AFH161" s="33"/>
      <c r="AFR161" s="33"/>
      <c r="AGB161" s="33"/>
      <c r="AGL161" s="33"/>
      <c r="AGV161" s="33"/>
      <c r="AHF161" s="33"/>
      <c r="AHP161" s="33"/>
      <c r="AHZ161" s="33"/>
      <c r="AIJ161" s="33"/>
      <c r="AIT161" s="33"/>
      <c r="AJD161" s="33"/>
      <c r="AJN161" s="33"/>
      <c r="AJX161" s="33"/>
      <c r="AKH161" s="33"/>
      <c r="AKR161" s="33"/>
      <c r="ALB161" s="33"/>
      <c r="ALL161" s="33"/>
      <c r="ALV161" s="33"/>
      <c r="AMF161" s="33"/>
      <c r="AMP161" s="33"/>
      <c r="AMZ161" s="33"/>
      <c r="ANJ161" s="33"/>
      <c r="ANT161" s="33"/>
      <c r="AOD161" s="33"/>
      <c r="AON161" s="33"/>
      <c r="AOX161" s="33"/>
      <c r="APH161" s="33"/>
      <c r="APR161" s="33"/>
      <c r="AQB161" s="33"/>
      <c r="AQL161" s="33"/>
      <c r="AQV161" s="33"/>
      <c r="ARF161" s="33"/>
      <c r="ARP161" s="33"/>
      <c r="ARZ161" s="33"/>
      <c r="ASJ161" s="33"/>
      <c r="AST161" s="33"/>
      <c r="ATD161" s="33"/>
      <c r="ATN161" s="33"/>
      <c r="ATX161" s="33"/>
      <c r="AUH161" s="33"/>
      <c r="AUR161" s="33"/>
      <c r="AVB161" s="33"/>
      <c r="AVL161" s="33"/>
      <c r="AVV161" s="33"/>
      <c r="AWF161" s="33"/>
      <c r="AWP161" s="33"/>
      <c r="AWZ161" s="33"/>
      <c r="AXJ161" s="33"/>
      <c r="AXT161" s="33"/>
      <c r="AYD161" s="33"/>
      <c r="AYN161" s="33"/>
      <c r="AYX161" s="33"/>
      <c r="AZH161" s="33"/>
      <c r="AZR161" s="33"/>
      <c r="BAB161" s="33"/>
      <c r="BAL161" s="33"/>
      <c r="BAV161" s="33"/>
      <c r="BBF161" s="33"/>
      <c r="BBP161" s="33"/>
      <c r="BBZ161" s="33"/>
      <c r="BCJ161" s="33"/>
      <c r="BCT161" s="33"/>
      <c r="BDD161" s="33"/>
      <c r="BDN161" s="33"/>
      <c r="BDX161" s="33"/>
      <c r="BEH161" s="33"/>
      <c r="BER161" s="33"/>
      <c r="BFB161" s="33"/>
      <c r="BFL161" s="33"/>
      <c r="BFV161" s="33"/>
      <c r="BGF161" s="33"/>
      <c r="BGP161" s="33"/>
      <c r="BGZ161" s="33"/>
      <c r="BHJ161" s="33"/>
      <c r="BHT161" s="33"/>
      <c r="BID161" s="33"/>
      <c r="BIN161" s="33"/>
      <c r="BIX161" s="33"/>
      <c r="BJH161" s="33"/>
      <c r="BJR161" s="33"/>
      <c r="BKB161" s="33"/>
      <c r="BKL161" s="33"/>
      <c r="BKV161" s="33"/>
      <c r="BLF161" s="33"/>
      <c r="BLP161" s="33"/>
      <c r="BLZ161" s="33"/>
      <c r="BMJ161" s="33"/>
      <c r="BMT161" s="33"/>
      <c r="BND161" s="33"/>
      <c r="BNN161" s="33"/>
      <c r="BNX161" s="33"/>
      <c r="BOH161" s="33"/>
      <c r="BOR161" s="33"/>
      <c r="BPB161" s="33"/>
      <c r="BPL161" s="33"/>
      <c r="BPV161" s="33"/>
      <c r="BQF161" s="33"/>
      <c r="BQP161" s="33"/>
      <c r="BQZ161" s="33"/>
      <c r="BRJ161" s="33"/>
      <c r="BRT161" s="33"/>
      <c r="BSD161" s="33"/>
      <c r="BSN161" s="33"/>
      <c r="BSX161" s="33"/>
      <c r="BTH161" s="33"/>
      <c r="BTR161" s="33"/>
      <c r="BUB161" s="33"/>
      <c r="BUL161" s="33"/>
      <c r="BUV161" s="33"/>
      <c r="BVF161" s="33"/>
      <c r="BVP161" s="33"/>
      <c r="BVZ161" s="33"/>
      <c r="BWJ161" s="33"/>
      <c r="BWT161" s="33"/>
      <c r="BXD161" s="33"/>
      <c r="BXN161" s="33"/>
      <c r="BXX161" s="33"/>
      <c r="BYH161" s="33"/>
      <c r="BYR161" s="33"/>
      <c r="BZB161" s="33"/>
      <c r="BZL161" s="33"/>
      <c r="BZV161" s="33"/>
      <c r="CAF161" s="33"/>
      <c r="CAP161" s="33"/>
      <c r="CAZ161" s="33"/>
      <c r="CBJ161" s="33"/>
      <c r="CBT161" s="33"/>
      <c r="CCD161" s="33"/>
      <c r="CCN161" s="33"/>
      <c r="CCX161" s="33"/>
      <c r="CDH161" s="33"/>
      <c r="CDR161" s="33"/>
      <c r="CEB161" s="33"/>
      <c r="CEL161" s="33"/>
      <c r="CEV161" s="33"/>
      <c r="CFF161" s="33"/>
      <c r="CFP161" s="33"/>
      <c r="CFZ161" s="33"/>
      <c r="CGJ161" s="33"/>
      <c r="CGT161" s="33"/>
      <c r="CHD161" s="33"/>
      <c r="CHN161" s="33"/>
      <c r="CHX161" s="33"/>
      <c r="CIH161" s="33"/>
      <c r="CIR161" s="33"/>
      <c r="CJB161" s="33"/>
      <c r="CJL161" s="33"/>
      <c r="CJV161" s="33"/>
      <c r="CKF161" s="33"/>
      <c r="CKP161" s="33"/>
      <c r="CKZ161" s="33"/>
      <c r="CLJ161" s="33"/>
      <c r="CLT161" s="33"/>
      <c r="CMD161" s="33"/>
      <c r="CMN161" s="33"/>
      <c r="CMX161" s="33"/>
      <c r="CNH161" s="33"/>
      <c r="CNR161" s="33"/>
      <c r="COB161" s="33"/>
      <c r="COL161" s="33"/>
      <c r="COV161" s="33"/>
      <c r="CPF161" s="33"/>
      <c r="CPP161" s="33"/>
      <c r="CPZ161" s="33"/>
      <c r="CQJ161" s="33"/>
      <c r="CQT161" s="33"/>
      <c r="CRD161" s="33"/>
      <c r="CRN161" s="33"/>
      <c r="CRX161" s="33"/>
      <c r="CSH161" s="33"/>
      <c r="CSR161" s="33"/>
      <c r="CTB161" s="33"/>
      <c r="CTL161" s="33"/>
      <c r="CTV161" s="33"/>
    </row>
    <row r="162" s="16" customFormat="1" customHeight="1" spans="1:1020 1030:2040 2050:2570">
      <c r="A162" s="57"/>
      <c r="B162" s="52"/>
      <c r="C162" s="52"/>
      <c r="D162" s="52"/>
      <c r="E162" s="52"/>
      <c r="F162" s="58" t="str">
        <f>IFERROR(VLOOKUP(E162,日报!E:G,2,0),"")</f>
        <v/>
      </c>
      <c r="G162" s="52"/>
      <c r="H162" s="53" t="str">
        <f>IFERROR(VLOOKUP(E162,基础数据!$E$4:$H$4,4,0),"")</f>
        <v/>
      </c>
      <c r="I162" s="53" t="str">
        <f>IFERROR(VLOOKUP(E162,基础数据!$E$4:$H$4,3,0),"")</f>
        <v/>
      </c>
      <c r="J162" s="52"/>
      <c r="K162" s="54" t="str">
        <f t="shared" si="2"/>
        <v/>
      </c>
      <c r="T162" s="33"/>
      <c r="AD162" s="33"/>
      <c r="AN162" s="33"/>
      <c r="AX162" s="33"/>
      <c r="BH162" s="33"/>
      <c r="BR162" s="33"/>
      <c r="CB162" s="33"/>
      <c r="CL162" s="33"/>
      <c r="CV162" s="33"/>
      <c r="DF162" s="33"/>
      <c r="DP162" s="33"/>
      <c r="DZ162" s="33"/>
      <c r="EJ162" s="33"/>
      <c r="ET162" s="33"/>
      <c r="FD162" s="33"/>
      <c r="FN162" s="33"/>
      <c r="FX162" s="33"/>
      <c r="GH162" s="33"/>
      <c r="GR162" s="33"/>
      <c r="HB162" s="33"/>
      <c r="HL162" s="33"/>
      <c r="HV162" s="33"/>
      <c r="IF162" s="33"/>
      <c r="IP162" s="33"/>
      <c r="IZ162" s="33"/>
      <c r="JJ162" s="33"/>
      <c r="JT162" s="33"/>
      <c r="KD162" s="33"/>
      <c r="KN162" s="33"/>
      <c r="KX162" s="33"/>
      <c r="LH162" s="33"/>
      <c r="LR162" s="33"/>
      <c r="MB162" s="33"/>
      <c r="ML162" s="33"/>
      <c r="MV162" s="33"/>
      <c r="NF162" s="33"/>
      <c r="NP162" s="33"/>
      <c r="NZ162" s="33"/>
      <c r="OJ162" s="33"/>
      <c r="OT162" s="33"/>
      <c r="PD162" s="33"/>
      <c r="PN162" s="33"/>
      <c r="PX162" s="33"/>
      <c r="QH162" s="33"/>
      <c r="QR162" s="33"/>
      <c r="RB162" s="33"/>
      <c r="RL162" s="33"/>
      <c r="RV162" s="33"/>
      <c r="SF162" s="33"/>
      <c r="SP162" s="33"/>
      <c r="SZ162" s="33"/>
      <c r="TJ162" s="33"/>
      <c r="TT162" s="33"/>
      <c r="UD162" s="33"/>
      <c r="UN162" s="33"/>
      <c r="UX162" s="33"/>
      <c r="VH162" s="33"/>
      <c r="VR162" s="33"/>
      <c r="WB162" s="33"/>
      <c r="WL162" s="33"/>
      <c r="WV162" s="33"/>
      <c r="XF162" s="33"/>
      <c r="XP162" s="33"/>
      <c r="XZ162" s="33"/>
      <c r="YJ162" s="33"/>
      <c r="YT162" s="33"/>
      <c r="ZD162" s="33"/>
      <c r="ZN162" s="33"/>
      <c r="ZX162" s="33"/>
      <c r="AAH162" s="33"/>
      <c r="AAR162" s="33"/>
      <c r="ABB162" s="33"/>
      <c r="ABL162" s="33"/>
      <c r="ABV162" s="33"/>
      <c r="ACF162" s="33"/>
      <c r="ACP162" s="33"/>
      <c r="ACZ162" s="33"/>
      <c r="ADJ162" s="33"/>
      <c r="ADT162" s="33"/>
      <c r="AED162" s="33"/>
      <c r="AEN162" s="33"/>
      <c r="AEX162" s="33"/>
      <c r="AFH162" s="33"/>
      <c r="AFR162" s="33"/>
      <c r="AGB162" s="33"/>
      <c r="AGL162" s="33"/>
      <c r="AGV162" s="33"/>
      <c r="AHF162" s="33"/>
      <c r="AHP162" s="33"/>
      <c r="AHZ162" s="33"/>
      <c r="AIJ162" s="33"/>
      <c r="AIT162" s="33"/>
      <c r="AJD162" s="33"/>
      <c r="AJN162" s="33"/>
      <c r="AJX162" s="33"/>
      <c r="AKH162" s="33"/>
      <c r="AKR162" s="33"/>
      <c r="ALB162" s="33"/>
      <c r="ALL162" s="33"/>
      <c r="ALV162" s="33"/>
      <c r="AMF162" s="33"/>
      <c r="AMP162" s="33"/>
      <c r="AMZ162" s="33"/>
      <c r="ANJ162" s="33"/>
      <c r="ANT162" s="33"/>
      <c r="AOD162" s="33"/>
      <c r="AON162" s="33"/>
      <c r="AOX162" s="33"/>
      <c r="APH162" s="33"/>
      <c r="APR162" s="33"/>
      <c r="AQB162" s="33"/>
      <c r="AQL162" s="33"/>
      <c r="AQV162" s="33"/>
      <c r="ARF162" s="33"/>
      <c r="ARP162" s="33"/>
      <c r="ARZ162" s="33"/>
      <c r="ASJ162" s="33"/>
      <c r="AST162" s="33"/>
      <c r="ATD162" s="33"/>
      <c r="ATN162" s="33"/>
      <c r="ATX162" s="33"/>
      <c r="AUH162" s="33"/>
      <c r="AUR162" s="33"/>
      <c r="AVB162" s="33"/>
      <c r="AVL162" s="33"/>
      <c r="AVV162" s="33"/>
      <c r="AWF162" s="33"/>
      <c r="AWP162" s="33"/>
      <c r="AWZ162" s="33"/>
      <c r="AXJ162" s="33"/>
      <c r="AXT162" s="33"/>
      <c r="AYD162" s="33"/>
      <c r="AYN162" s="33"/>
      <c r="AYX162" s="33"/>
      <c r="AZH162" s="33"/>
      <c r="AZR162" s="33"/>
      <c r="BAB162" s="33"/>
      <c r="BAL162" s="33"/>
      <c r="BAV162" s="33"/>
      <c r="BBF162" s="33"/>
      <c r="BBP162" s="33"/>
      <c r="BBZ162" s="33"/>
      <c r="BCJ162" s="33"/>
      <c r="BCT162" s="33"/>
      <c r="BDD162" s="33"/>
      <c r="BDN162" s="33"/>
      <c r="BDX162" s="33"/>
      <c r="BEH162" s="33"/>
      <c r="BER162" s="33"/>
      <c r="BFB162" s="33"/>
      <c r="BFL162" s="33"/>
      <c r="BFV162" s="33"/>
      <c r="BGF162" s="33"/>
      <c r="BGP162" s="33"/>
      <c r="BGZ162" s="33"/>
      <c r="BHJ162" s="33"/>
      <c r="BHT162" s="33"/>
      <c r="BID162" s="33"/>
      <c r="BIN162" s="33"/>
      <c r="BIX162" s="33"/>
      <c r="BJH162" s="33"/>
      <c r="BJR162" s="33"/>
      <c r="BKB162" s="33"/>
      <c r="BKL162" s="33"/>
      <c r="BKV162" s="33"/>
      <c r="BLF162" s="33"/>
      <c r="BLP162" s="33"/>
      <c r="BLZ162" s="33"/>
      <c r="BMJ162" s="33"/>
      <c r="BMT162" s="33"/>
      <c r="BND162" s="33"/>
      <c r="BNN162" s="33"/>
      <c r="BNX162" s="33"/>
      <c r="BOH162" s="33"/>
      <c r="BOR162" s="33"/>
      <c r="BPB162" s="33"/>
      <c r="BPL162" s="33"/>
      <c r="BPV162" s="33"/>
      <c r="BQF162" s="33"/>
      <c r="BQP162" s="33"/>
      <c r="BQZ162" s="33"/>
      <c r="BRJ162" s="33"/>
      <c r="BRT162" s="33"/>
      <c r="BSD162" s="33"/>
      <c r="BSN162" s="33"/>
      <c r="BSX162" s="33"/>
      <c r="BTH162" s="33"/>
      <c r="BTR162" s="33"/>
      <c r="BUB162" s="33"/>
      <c r="BUL162" s="33"/>
      <c r="BUV162" s="33"/>
      <c r="BVF162" s="33"/>
      <c r="BVP162" s="33"/>
      <c r="BVZ162" s="33"/>
      <c r="BWJ162" s="33"/>
      <c r="BWT162" s="33"/>
      <c r="BXD162" s="33"/>
      <c r="BXN162" s="33"/>
      <c r="BXX162" s="33"/>
      <c r="BYH162" s="33"/>
      <c r="BYR162" s="33"/>
      <c r="BZB162" s="33"/>
      <c r="BZL162" s="33"/>
      <c r="BZV162" s="33"/>
      <c r="CAF162" s="33"/>
      <c r="CAP162" s="33"/>
      <c r="CAZ162" s="33"/>
      <c r="CBJ162" s="33"/>
      <c r="CBT162" s="33"/>
      <c r="CCD162" s="33"/>
      <c r="CCN162" s="33"/>
      <c r="CCX162" s="33"/>
      <c r="CDH162" s="33"/>
      <c r="CDR162" s="33"/>
      <c r="CEB162" s="33"/>
      <c r="CEL162" s="33"/>
      <c r="CEV162" s="33"/>
      <c r="CFF162" s="33"/>
      <c r="CFP162" s="33"/>
      <c r="CFZ162" s="33"/>
      <c r="CGJ162" s="33"/>
      <c r="CGT162" s="33"/>
      <c r="CHD162" s="33"/>
      <c r="CHN162" s="33"/>
      <c r="CHX162" s="33"/>
      <c r="CIH162" s="33"/>
      <c r="CIR162" s="33"/>
      <c r="CJB162" s="33"/>
      <c r="CJL162" s="33"/>
      <c r="CJV162" s="33"/>
      <c r="CKF162" s="33"/>
      <c r="CKP162" s="33"/>
      <c r="CKZ162" s="33"/>
      <c r="CLJ162" s="33"/>
      <c r="CLT162" s="33"/>
      <c r="CMD162" s="33"/>
      <c r="CMN162" s="33"/>
      <c r="CMX162" s="33"/>
      <c r="CNH162" s="33"/>
      <c r="CNR162" s="33"/>
      <c r="COB162" s="33"/>
      <c r="COL162" s="33"/>
      <c r="COV162" s="33"/>
      <c r="CPF162" s="33"/>
      <c r="CPP162" s="33"/>
      <c r="CPZ162" s="33"/>
      <c r="CQJ162" s="33"/>
      <c r="CQT162" s="33"/>
      <c r="CRD162" s="33"/>
      <c r="CRN162" s="33"/>
      <c r="CRX162" s="33"/>
      <c r="CSH162" s="33"/>
      <c r="CSR162" s="33"/>
      <c r="CTB162" s="33"/>
      <c r="CTL162" s="33"/>
      <c r="CTV162" s="33"/>
    </row>
    <row r="163" s="16" customFormat="1" customHeight="1" spans="1:1020 1030:2040 2050:2570">
      <c r="A163" s="57"/>
      <c r="B163" s="52"/>
      <c r="C163" s="52"/>
      <c r="D163" s="52"/>
      <c r="E163" s="52"/>
      <c r="F163" s="58" t="str">
        <f>IFERROR(VLOOKUP(E163,日报!E:G,2,0),"")</f>
        <v/>
      </c>
      <c r="G163" s="52"/>
      <c r="H163" s="53" t="str">
        <f>IFERROR(VLOOKUP(E163,基础数据!$E$4:$H$4,4,0),"")</f>
        <v/>
      </c>
      <c r="I163" s="53" t="str">
        <f>IFERROR(VLOOKUP(E163,基础数据!$E$4:$H$4,3,0),"")</f>
        <v/>
      </c>
      <c r="J163" s="52"/>
      <c r="K163" s="54" t="str">
        <f t="shared" si="2"/>
        <v/>
      </c>
      <c r="T163" s="33"/>
      <c r="AD163" s="33"/>
      <c r="AN163" s="33"/>
      <c r="AX163" s="33"/>
      <c r="BH163" s="33"/>
      <c r="BR163" s="33"/>
      <c r="CB163" s="33"/>
      <c r="CL163" s="33"/>
      <c r="CV163" s="33"/>
      <c r="DF163" s="33"/>
      <c r="DP163" s="33"/>
      <c r="DZ163" s="33"/>
      <c r="EJ163" s="33"/>
      <c r="ET163" s="33"/>
      <c r="FD163" s="33"/>
      <c r="FN163" s="33"/>
      <c r="FX163" s="33"/>
      <c r="GH163" s="33"/>
      <c r="GR163" s="33"/>
      <c r="HB163" s="33"/>
      <c r="HL163" s="33"/>
      <c r="HV163" s="33"/>
      <c r="IF163" s="33"/>
      <c r="IP163" s="33"/>
      <c r="IZ163" s="33"/>
      <c r="JJ163" s="33"/>
      <c r="JT163" s="33"/>
      <c r="KD163" s="33"/>
      <c r="KN163" s="33"/>
      <c r="KX163" s="33"/>
      <c r="LH163" s="33"/>
      <c r="LR163" s="33"/>
      <c r="MB163" s="33"/>
      <c r="ML163" s="33"/>
      <c r="MV163" s="33"/>
      <c r="NF163" s="33"/>
      <c r="NP163" s="33"/>
      <c r="NZ163" s="33"/>
      <c r="OJ163" s="33"/>
      <c r="OT163" s="33"/>
      <c r="PD163" s="33"/>
      <c r="PN163" s="33"/>
      <c r="PX163" s="33"/>
      <c r="QH163" s="33"/>
      <c r="QR163" s="33"/>
      <c r="RB163" s="33"/>
      <c r="RL163" s="33"/>
      <c r="RV163" s="33"/>
      <c r="SF163" s="33"/>
      <c r="SP163" s="33"/>
      <c r="SZ163" s="33"/>
      <c r="TJ163" s="33"/>
      <c r="TT163" s="33"/>
      <c r="UD163" s="33"/>
      <c r="UN163" s="33"/>
      <c r="UX163" s="33"/>
      <c r="VH163" s="33"/>
      <c r="VR163" s="33"/>
      <c r="WB163" s="33"/>
      <c r="WL163" s="33"/>
      <c r="WV163" s="33"/>
      <c r="XF163" s="33"/>
      <c r="XP163" s="33"/>
      <c r="XZ163" s="33"/>
      <c r="YJ163" s="33"/>
      <c r="YT163" s="33"/>
      <c r="ZD163" s="33"/>
      <c r="ZN163" s="33"/>
      <c r="ZX163" s="33"/>
      <c r="AAH163" s="33"/>
      <c r="AAR163" s="33"/>
      <c r="ABB163" s="33"/>
      <c r="ABL163" s="33"/>
      <c r="ABV163" s="33"/>
      <c r="ACF163" s="33"/>
      <c r="ACP163" s="33"/>
      <c r="ACZ163" s="33"/>
      <c r="ADJ163" s="33"/>
      <c r="ADT163" s="33"/>
      <c r="AED163" s="33"/>
      <c r="AEN163" s="33"/>
      <c r="AEX163" s="33"/>
      <c r="AFH163" s="33"/>
      <c r="AFR163" s="33"/>
      <c r="AGB163" s="33"/>
      <c r="AGL163" s="33"/>
      <c r="AGV163" s="33"/>
      <c r="AHF163" s="33"/>
      <c r="AHP163" s="33"/>
      <c r="AHZ163" s="33"/>
      <c r="AIJ163" s="33"/>
      <c r="AIT163" s="33"/>
      <c r="AJD163" s="33"/>
      <c r="AJN163" s="33"/>
      <c r="AJX163" s="33"/>
      <c r="AKH163" s="33"/>
      <c r="AKR163" s="33"/>
      <c r="ALB163" s="33"/>
      <c r="ALL163" s="33"/>
      <c r="ALV163" s="33"/>
      <c r="AMF163" s="33"/>
      <c r="AMP163" s="33"/>
      <c r="AMZ163" s="33"/>
      <c r="ANJ163" s="33"/>
      <c r="ANT163" s="33"/>
      <c r="AOD163" s="33"/>
      <c r="AON163" s="33"/>
      <c r="AOX163" s="33"/>
      <c r="APH163" s="33"/>
      <c r="APR163" s="33"/>
      <c r="AQB163" s="33"/>
      <c r="AQL163" s="33"/>
      <c r="AQV163" s="33"/>
      <c r="ARF163" s="33"/>
      <c r="ARP163" s="33"/>
      <c r="ARZ163" s="33"/>
      <c r="ASJ163" s="33"/>
      <c r="AST163" s="33"/>
      <c r="ATD163" s="33"/>
      <c r="ATN163" s="33"/>
      <c r="ATX163" s="33"/>
      <c r="AUH163" s="33"/>
      <c r="AUR163" s="33"/>
      <c r="AVB163" s="33"/>
      <c r="AVL163" s="33"/>
      <c r="AVV163" s="33"/>
      <c r="AWF163" s="33"/>
      <c r="AWP163" s="33"/>
      <c r="AWZ163" s="33"/>
      <c r="AXJ163" s="33"/>
      <c r="AXT163" s="33"/>
      <c r="AYD163" s="33"/>
      <c r="AYN163" s="33"/>
      <c r="AYX163" s="33"/>
      <c r="AZH163" s="33"/>
      <c r="AZR163" s="33"/>
      <c r="BAB163" s="33"/>
      <c r="BAL163" s="33"/>
      <c r="BAV163" s="33"/>
      <c r="BBF163" s="33"/>
      <c r="BBP163" s="33"/>
      <c r="BBZ163" s="33"/>
      <c r="BCJ163" s="33"/>
      <c r="BCT163" s="33"/>
      <c r="BDD163" s="33"/>
      <c r="BDN163" s="33"/>
      <c r="BDX163" s="33"/>
      <c r="BEH163" s="33"/>
      <c r="BER163" s="33"/>
      <c r="BFB163" s="33"/>
      <c r="BFL163" s="33"/>
      <c r="BFV163" s="33"/>
      <c r="BGF163" s="33"/>
      <c r="BGP163" s="33"/>
      <c r="BGZ163" s="33"/>
      <c r="BHJ163" s="33"/>
      <c r="BHT163" s="33"/>
      <c r="BID163" s="33"/>
      <c r="BIN163" s="33"/>
      <c r="BIX163" s="33"/>
      <c r="BJH163" s="33"/>
      <c r="BJR163" s="33"/>
      <c r="BKB163" s="33"/>
      <c r="BKL163" s="33"/>
      <c r="BKV163" s="33"/>
      <c r="BLF163" s="33"/>
      <c r="BLP163" s="33"/>
      <c r="BLZ163" s="33"/>
      <c r="BMJ163" s="33"/>
      <c r="BMT163" s="33"/>
      <c r="BND163" s="33"/>
      <c r="BNN163" s="33"/>
      <c r="BNX163" s="33"/>
      <c r="BOH163" s="33"/>
      <c r="BOR163" s="33"/>
      <c r="BPB163" s="33"/>
      <c r="BPL163" s="33"/>
      <c r="BPV163" s="33"/>
      <c r="BQF163" s="33"/>
      <c r="BQP163" s="33"/>
      <c r="BQZ163" s="33"/>
      <c r="BRJ163" s="33"/>
      <c r="BRT163" s="33"/>
      <c r="BSD163" s="33"/>
      <c r="BSN163" s="33"/>
      <c r="BSX163" s="33"/>
      <c r="BTH163" s="33"/>
      <c r="BTR163" s="33"/>
      <c r="BUB163" s="33"/>
      <c r="BUL163" s="33"/>
      <c r="BUV163" s="33"/>
      <c r="BVF163" s="33"/>
      <c r="BVP163" s="33"/>
      <c r="BVZ163" s="33"/>
      <c r="BWJ163" s="33"/>
      <c r="BWT163" s="33"/>
      <c r="BXD163" s="33"/>
      <c r="BXN163" s="33"/>
      <c r="BXX163" s="33"/>
      <c r="BYH163" s="33"/>
      <c r="BYR163" s="33"/>
      <c r="BZB163" s="33"/>
      <c r="BZL163" s="33"/>
      <c r="BZV163" s="33"/>
      <c r="CAF163" s="33"/>
      <c r="CAP163" s="33"/>
      <c r="CAZ163" s="33"/>
      <c r="CBJ163" s="33"/>
      <c r="CBT163" s="33"/>
      <c r="CCD163" s="33"/>
      <c r="CCN163" s="33"/>
      <c r="CCX163" s="33"/>
      <c r="CDH163" s="33"/>
      <c r="CDR163" s="33"/>
      <c r="CEB163" s="33"/>
      <c r="CEL163" s="33"/>
      <c r="CEV163" s="33"/>
      <c r="CFF163" s="33"/>
      <c r="CFP163" s="33"/>
      <c r="CFZ163" s="33"/>
      <c r="CGJ163" s="33"/>
      <c r="CGT163" s="33"/>
      <c r="CHD163" s="33"/>
      <c r="CHN163" s="33"/>
      <c r="CHX163" s="33"/>
      <c r="CIH163" s="33"/>
      <c r="CIR163" s="33"/>
      <c r="CJB163" s="33"/>
      <c r="CJL163" s="33"/>
      <c r="CJV163" s="33"/>
      <c r="CKF163" s="33"/>
      <c r="CKP163" s="33"/>
      <c r="CKZ163" s="33"/>
      <c r="CLJ163" s="33"/>
      <c r="CLT163" s="33"/>
      <c r="CMD163" s="33"/>
      <c r="CMN163" s="33"/>
      <c r="CMX163" s="33"/>
      <c r="CNH163" s="33"/>
      <c r="CNR163" s="33"/>
      <c r="COB163" s="33"/>
      <c r="COL163" s="33"/>
      <c r="COV163" s="33"/>
      <c r="CPF163" s="33"/>
      <c r="CPP163" s="33"/>
      <c r="CPZ163" s="33"/>
      <c r="CQJ163" s="33"/>
      <c r="CQT163" s="33"/>
      <c r="CRD163" s="33"/>
      <c r="CRN163" s="33"/>
      <c r="CRX163" s="33"/>
      <c r="CSH163" s="33"/>
      <c r="CSR163" s="33"/>
      <c r="CTB163" s="33"/>
      <c r="CTL163" s="33"/>
      <c r="CTV163" s="33"/>
    </row>
    <row r="164" s="16" customFormat="1" customHeight="1" spans="1:1020 1030:2040 2050:2570">
      <c r="A164" s="57"/>
      <c r="B164" s="52"/>
      <c r="C164" s="52"/>
      <c r="D164" s="52"/>
      <c r="E164" s="52"/>
      <c r="F164" s="58" t="str">
        <f>IFERROR(VLOOKUP(E164,日报!E:G,2,0),"")</f>
        <v/>
      </c>
      <c r="G164" s="52"/>
      <c r="H164" s="53" t="str">
        <f>IFERROR(VLOOKUP(E164,基础数据!$E$4:$H$4,4,0),"")</f>
        <v/>
      </c>
      <c r="I164" s="53" t="str">
        <f>IFERROR(VLOOKUP(E164,基础数据!$E$4:$H$4,3,0),"")</f>
        <v/>
      </c>
      <c r="J164" s="52"/>
      <c r="K164" s="54" t="str">
        <f t="shared" si="2"/>
        <v/>
      </c>
      <c r="T164" s="33"/>
      <c r="AD164" s="33"/>
      <c r="AN164" s="33"/>
      <c r="AX164" s="33"/>
      <c r="BH164" s="33"/>
      <c r="BR164" s="33"/>
      <c r="CB164" s="33"/>
      <c r="CL164" s="33"/>
      <c r="CV164" s="33"/>
      <c r="DF164" s="33"/>
      <c r="DP164" s="33"/>
      <c r="DZ164" s="33"/>
      <c r="EJ164" s="33"/>
      <c r="ET164" s="33"/>
      <c r="FD164" s="33"/>
      <c r="FN164" s="33"/>
      <c r="FX164" s="33"/>
      <c r="GH164" s="33"/>
      <c r="GR164" s="33"/>
      <c r="HB164" s="33"/>
      <c r="HL164" s="33"/>
      <c r="HV164" s="33"/>
      <c r="IF164" s="33"/>
      <c r="IP164" s="33"/>
      <c r="IZ164" s="33"/>
      <c r="JJ164" s="33"/>
      <c r="JT164" s="33"/>
      <c r="KD164" s="33"/>
      <c r="KN164" s="33"/>
      <c r="KX164" s="33"/>
      <c r="LH164" s="33"/>
      <c r="LR164" s="33"/>
      <c r="MB164" s="33"/>
      <c r="ML164" s="33"/>
      <c r="MV164" s="33"/>
      <c r="NF164" s="33"/>
      <c r="NP164" s="33"/>
      <c r="NZ164" s="33"/>
      <c r="OJ164" s="33"/>
      <c r="OT164" s="33"/>
      <c r="PD164" s="33"/>
      <c r="PN164" s="33"/>
      <c r="PX164" s="33"/>
      <c r="QH164" s="33"/>
      <c r="QR164" s="33"/>
      <c r="RB164" s="33"/>
      <c r="RL164" s="33"/>
      <c r="RV164" s="33"/>
      <c r="SF164" s="33"/>
      <c r="SP164" s="33"/>
      <c r="SZ164" s="33"/>
      <c r="TJ164" s="33"/>
      <c r="TT164" s="33"/>
      <c r="UD164" s="33"/>
      <c r="UN164" s="33"/>
      <c r="UX164" s="33"/>
      <c r="VH164" s="33"/>
      <c r="VR164" s="33"/>
      <c r="WB164" s="33"/>
      <c r="WL164" s="33"/>
      <c r="WV164" s="33"/>
      <c r="XF164" s="33"/>
      <c r="XP164" s="33"/>
      <c r="XZ164" s="33"/>
      <c r="YJ164" s="33"/>
      <c r="YT164" s="33"/>
      <c r="ZD164" s="33"/>
      <c r="ZN164" s="33"/>
      <c r="ZX164" s="33"/>
      <c r="AAH164" s="33"/>
      <c r="AAR164" s="33"/>
      <c r="ABB164" s="33"/>
      <c r="ABL164" s="33"/>
      <c r="ABV164" s="33"/>
      <c r="ACF164" s="33"/>
      <c r="ACP164" s="33"/>
      <c r="ACZ164" s="33"/>
      <c r="ADJ164" s="33"/>
      <c r="ADT164" s="33"/>
      <c r="AED164" s="33"/>
      <c r="AEN164" s="33"/>
      <c r="AEX164" s="33"/>
      <c r="AFH164" s="33"/>
      <c r="AFR164" s="33"/>
      <c r="AGB164" s="33"/>
      <c r="AGL164" s="33"/>
      <c r="AGV164" s="33"/>
      <c r="AHF164" s="33"/>
      <c r="AHP164" s="33"/>
      <c r="AHZ164" s="33"/>
      <c r="AIJ164" s="33"/>
      <c r="AIT164" s="33"/>
      <c r="AJD164" s="33"/>
      <c r="AJN164" s="33"/>
      <c r="AJX164" s="33"/>
      <c r="AKH164" s="33"/>
      <c r="AKR164" s="33"/>
      <c r="ALB164" s="33"/>
      <c r="ALL164" s="33"/>
      <c r="ALV164" s="33"/>
      <c r="AMF164" s="33"/>
      <c r="AMP164" s="33"/>
      <c r="AMZ164" s="33"/>
      <c r="ANJ164" s="33"/>
      <c r="ANT164" s="33"/>
      <c r="AOD164" s="33"/>
      <c r="AON164" s="33"/>
      <c r="AOX164" s="33"/>
      <c r="APH164" s="33"/>
      <c r="APR164" s="33"/>
      <c r="AQB164" s="33"/>
      <c r="AQL164" s="33"/>
      <c r="AQV164" s="33"/>
      <c r="ARF164" s="33"/>
      <c r="ARP164" s="33"/>
      <c r="ARZ164" s="33"/>
      <c r="ASJ164" s="33"/>
      <c r="AST164" s="33"/>
      <c r="ATD164" s="33"/>
      <c r="ATN164" s="33"/>
      <c r="ATX164" s="33"/>
      <c r="AUH164" s="33"/>
      <c r="AUR164" s="33"/>
      <c r="AVB164" s="33"/>
      <c r="AVL164" s="33"/>
      <c r="AVV164" s="33"/>
      <c r="AWF164" s="33"/>
      <c r="AWP164" s="33"/>
      <c r="AWZ164" s="33"/>
      <c r="AXJ164" s="33"/>
      <c r="AXT164" s="33"/>
      <c r="AYD164" s="33"/>
      <c r="AYN164" s="33"/>
      <c r="AYX164" s="33"/>
      <c r="AZH164" s="33"/>
      <c r="AZR164" s="33"/>
      <c r="BAB164" s="33"/>
      <c r="BAL164" s="33"/>
      <c r="BAV164" s="33"/>
      <c r="BBF164" s="33"/>
      <c r="BBP164" s="33"/>
      <c r="BBZ164" s="33"/>
      <c r="BCJ164" s="33"/>
      <c r="BCT164" s="33"/>
      <c r="BDD164" s="33"/>
      <c r="BDN164" s="33"/>
      <c r="BDX164" s="33"/>
      <c r="BEH164" s="33"/>
      <c r="BER164" s="33"/>
      <c r="BFB164" s="33"/>
      <c r="BFL164" s="33"/>
      <c r="BFV164" s="33"/>
      <c r="BGF164" s="33"/>
      <c r="BGP164" s="33"/>
      <c r="BGZ164" s="33"/>
      <c r="BHJ164" s="33"/>
      <c r="BHT164" s="33"/>
      <c r="BID164" s="33"/>
      <c r="BIN164" s="33"/>
      <c r="BIX164" s="33"/>
      <c r="BJH164" s="33"/>
      <c r="BJR164" s="33"/>
      <c r="BKB164" s="33"/>
      <c r="BKL164" s="33"/>
      <c r="BKV164" s="33"/>
      <c r="BLF164" s="33"/>
      <c r="BLP164" s="33"/>
      <c r="BLZ164" s="33"/>
      <c r="BMJ164" s="33"/>
      <c r="BMT164" s="33"/>
      <c r="BND164" s="33"/>
      <c r="BNN164" s="33"/>
      <c r="BNX164" s="33"/>
      <c r="BOH164" s="33"/>
      <c r="BOR164" s="33"/>
      <c r="BPB164" s="33"/>
      <c r="BPL164" s="33"/>
      <c r="BPV164" s="33"/>
      <c r="BQF164" s="33"/>
      <c r="BQP164" s="33"/>
      <c r="BQZ164" s="33"/>
      <c r="BRJ164" s="33"/>
      <c r="BRT164" s="33"/>
      <c r="BSD164" s="33"/>
      <c r="BSN164" s="33"/>
      <c r="BSX164" s="33"/>
      <c r="BTH164" s="33"/>
      <c r="BTR164" s="33"/>
      <c r="BUB164" s="33"/>
      <c r="BUL164" s="33"/>
      <c r="BUV164" s="33"/>
      <c r="BVF164" s="33"/>
      <c r="BVP164" s="33"/>
      <c r="BVZ164" s="33"/>
      <c r="BWJ164" s="33"/>
      <c r="BWT164" s="33"/>
      <c r="BXD164" s="33"/>
      <c r="BXN164" s="33"/>
      <c r="BXX164" s="33"/>
      <c r="BYH164" s="33"/>
      <c r="BYR164" s="33"/>
      <c r="BZB164" s="33"/>
      <c r="BZL164" s="33"/>
      <c r="BZV164" s="33"/>
      <c r="CAF164" s="33"/>
      <c r="CAP164" s="33"/>
      <c r="CAZ164" s="33"/>
      <c r="CBJ164" s="33"/>
      <c r="CBT164" s="33"/>
      <c r="CCD164" s="33"/>
      <c r="CCN164" s="33"/>
      <c r="CCX164" s="33"/>
      <c r="CDH164" s="33"/>
      <c r="CDR164" s="33"/>
      <c r="CEB164" s="33"/>
      <c r="CEL164" s="33"/>
      <c r="CEV164" s="33"/>
      <c r="CFF164" s="33"/>
      <c r="CFP164" s="33"/>
      <c r="CFZ164" s="33"/>
      <c r="CGJ164" s="33"/>
      <c r="CGT164" s="33"/>
      <c r="CHD164" s="33"/>
      <c r="CHN164" s="33"/>
      <c r="CHX164" s="33"/>
      <c r="CIH164" s="33"/>
      <c r="CIR164" s="33"/>
      <c r="CJB164" s="33"/>
      <c r="CJL164" s="33"/>
      <c r="CJV164" s="33"/>
      <c r="CKF164" s="33"/>
      <c r="CKP164" s="33"/>
      <c r="CKZ164" s="33"/>
      <c r="CLJ164" s="33"/>
      <c r="CLT164" s="33"/>
      <c r="CMD164" s="33"/>
      <c r="CMN164" s="33"/>
      <c r="CMX164" s="33"/>
      <c r="CNH164" s="33"/>
      <c r="CNR164" s="33"/>
      <c r="COB164" s="33"/>
      <c r="COL164" s="33"/>
      <c r="COV164" s="33"/>
      <c r="CPF164" s="33"/>
      <c r="CPP164" s="33"/>
      <c r="CPZ164" s="33"/>
      <c r="CQJ164" s="33"/>
      <c r="CQT164" s="33"/>
      <c r="CRD164" s="33"/>
      <c r="CRN164" s="33"/>
      <c r="CRX164" s="33"/>
      <c r="CSH164" s="33"/>
      <c r="CSR164" s="33"/>
      <c r="CTB164" s="33"/>
      <c r="CTL164" s="33"/>
      <c r="CTV164" s="33"/>
    </row>
    <row r="165" s="16" customFormat="1" customHeight="1" spans="1:1020 1030:2040 2050:2570">
      <c r="A165" s="57"/>
      <c r="B165" s="52"/>
      <c r="C165" s="52"/>
      <c r="D165" s="52"/>
      <c r="E165" s="52"/>
      <c r="F165" s="58" t="str">
        <f>IFERROR(VLOOKUP(E165,日报!E:G,2,0),"")</f>
        <v/>
      </c>
      <c r="G165" s="52"/>
      <c r="H165" s="53" t="str">
        <f>IFERROR(VLOOKUP(E165,基础数据!$E$4:$H$4,4,0),"")</f>
        <v/>
      </c>
      <c r="I165" s="53" t="str">
        <f>IFERROR(VLOOKUP(E165,基础数据!$E$4:$H$4,3,0),"")</f>
        <v/>
      </c>
      <c r="J165" s="52"/>
      <c r="K165" s="54" t="str">
        <f t="shared" si="2"/>
        <v/>
      </c>
      <c r="T165" s="33"/>
      <c r="AD165" s="33"/>
      <c r="AN165" s="33"/>
      <c r="AX165" s="33"/>
      <c r="BH165" s="33"/>
      <c r="BR165" s="33"/>
      <c r="CB165" s="33"/>
      <c r="CL165" s="33"/>
      <c r="CV165" s="33"/>
      <c r="DF165" s="33"/>
      <c r="DP165" s="33"/>
      <c r="DZ165" s="33"/>
      <c r="EJ165" s="33"/>
      <c r="ET165" s="33"/>
      <c r="FD165" s="33"/>
      <c r="FN165" s="33"/>
      <c r="FX165" s="33"/>
      <c r="GH165" s="33"/>
      <c r="GR165" s="33"/>
      <c r="HB165" s="33"/>
      <c r="HL165" s="33"/>
      <c r="HV165" s="33"/>
      <c r="IF165" s="33"/>
      <c r="IP165" s="33"/>
      <c r="IZ165" s="33"/>
      <c r="JJ165" s="33"/>
      <c r="JT165" s="33"/>
      <c r="KD165" s="33"/>
      <c r="KN165" s="33"/>
      <c r="KX165" s="33"/>
      <c r="LH165" s="33"/>
      <c r="LR165" s="33"/>
      <c r="MB165" s="33"/>
      <c r="ML165" s="33"/>
      <c r="MV165" s="33"/>
      <c r="NF165" s="33"/>
      <c r="NP165" s="33"/>
      <c r="NZ165" s="33"/>
      <c r="OJ165" s="33"/>
      <c r="OT165" s="33"/>
      <c r="PD165" s="33"/>
      <c r="PN165" s="33"/>
      <c r="PX165" s="33"/>
      <c r="QH165" s="33"/>
      <c r="QR165" s="33"/>
      <c r="RB165" s="33"/>
      <c r="RL165" s="33"/>
      <c r="RV165" s="33"/>
      <c r="SF165" s="33"/>
      <c r="SP165" s="33"/>
      <c r="SZ165" s="33"/>
      <c r="TJ165" s="33"/>
      <c r="TT165" s="33"/>
      <c r="UD165" s="33"/>
      <c r="UN165" s="33"/>
      <c r="UX165" s="33"/>
      <c r="VH165" s="33"/>
      <c r="VR165" s="33"/>
      <c r="WB165" s="33"/>
      <c r="WL165" s="33"/>
      <c r="WV165" s="33"/>
      <c r="XF165" s="33"/>
      <c r="XP165" s="33"/>
      <c r="XZ165" s="33"/>
      <c r="YJ165" s="33"/>
      <c r="YT165" s="33"/>
      <c r="ZD165" s="33"/>
      <c r="ZN165" s="33"/>
      <c r="ZX165" s="33"/>
      <c r="AAH165" s="33"/>
      <c r="AAR165" s="33"/>
      <c r="ABB165" s="33"/>
      <c r="ABL165" s="33"/>
      <c r="ABV165" s="33"/>
      <c r="ACF165" s="33"/>
      <c r="ACP165" s="33"/>
      <c r="ACZ165" s="33"/>
      <c r="ADJ165" s="33"/>
      <c r="ADT165" s="33"/>
      <c r="AED165" s="33"/>
      <c r="AEN165" s="33"/>
      <c r="AEX165" s="33"/>
      <c r="AFH165" s="33"/>
      <c r="AFR165" s="33"/>
      <c r="AGB165" s="33"/>
      <c r="AGL165" s="33"/>
      <c r="AGV165" s="33"/>
      <c r="AHF165" s="33"/>
      <c r="AHP165" s="33"/>
      <c r="AHZ165" s="33"/>
      <c r="AIJ165" s="33"/>
      <c r="AIT165" s="33"/>
      <c r="AJD165" s="33"/>
      <c r="AJN165" s="33"/>
      <c r="AJX165" s="33"/>
      <c r="AKH165" s="33"/>
      <c r="AKR165" s="33"/>
      <c r="ALB165" s="33"/>
      <c r="ALL165" s="33"/>
      <c r="ALV165" s="33"/>
      <c r="AMF165" s="33"/>
      <c r="AMP165" s="33"/>
      <c r="AMZ165" s="33"/>
      <c r="ANJ165" s="33"/>
      <c r="ANT165" s="33"/>
      <c r="AOD165" s="33"/>
      <c r="AON165" s="33"/>
      <c r="AOX165" s="33"/>
      <c r="APH165" s="33"/>
      <c r="APR165" s="33"/>
      <c r="AQB165" s="33"/>
      <c r="AQL165" s="33"/>
      <c r="AQV165" s="33"/>
      <c r="ARF165" s="33"/>
      <c r="ARP165" s="33"/>
      <c r="ARZ165" s="33"/>
      <c r="ASJ165" s="33"/>
      <c r="AST165" s="33"/>
      <c r="ATD165" s="33"/>
      <c r="ATN165" s="33"/>
      <c r="ATX165" s="33"/>
      <c r="AUH165" s="33"/>
      <c r="AUR165" s="33"/>
      <c r="AVB165" s="33"/>
      <c r="AVL165" s="33"/>
      <c r="AVV165" s="33"/>
      <c r="AWF165" s="33"/>
      <c r="AWP165" s="33"/>
      <c r="AWZ165" s="33"/>
      <c r="AXJ165" s="33"/>
      <c r="AXT165" s="33"/>
      <c r="AYD165" s="33"/>
      <c r="AYN165" s="33"/>
      <c r="AYX165" s="33"/>
      <c r="AZH165" s="33"/>
      <c r="AZR165" s="33"/>
      <c r="BAB165" s="33"/>
      <c r="BAL165" s="33"/>
      <c r="BAV165" s="33"/>
      <c r="BBF165" s="33"/>
      <c r="BBP165" s="33"/>
      <c r="BBZ165" s="33"/>
      <c r="BCJ165" s="33"/>
      <c r="BCT165" s="33"/>
      <c r="BDD165" s="33"/>
      <c r="BDN165" s="33"/>
      <c r="BDX165" s="33"/>
      <c r="BEH165" s="33"/>
      <c r="BER165" s="33"/>
      <c r="BFB165" s="33"/>
      <c r="BFL165" s="33"/>
      <c r="BFV165" s="33"/>
      <c r="BGF165" s="33"/>
      <c r="BGP165" s="33"/>
      <c r="BGZ165" s="33"/>
      <c r="BHJ165" s="33"/>
      <c r="BHT165" s="33"/>
      <c r="BID165" s="33"/>
      <c r="BIN165" s="33"/>
      <c r="BIX165" s="33"/>
      <c r="BJH165" s="33"/>
      <c r="BJR165" s="33"/>
      <c r="BKB165" s="33"/>
      <c r="BKL165" s="33"/>
      <c r="BKV165" s="33"/>
      <c r="BLF165" s="33"/>
      <c r="BLP165" s="33"/>
      <c r="BLZ165" s="33"/>
      <c r="BMJ165" s="33"/>
      <c r="BMT165" s="33"/>
      <c r="BND165" s="33"/>
      <c r="BNN165" s="33"/>
      <c r="BNX165" s="33"/>
      <c r="BOH165" s="33"/>
      <c r="BOR165" s="33"/>
      <c r="BPB165" s="33"/>
      <c r="BPL165" s="33"/>
      <c r="BPV165" s="33"/>
      <c r="BQF165" s="33"/>
      <c r="BQP165" s="33"/>
      <c r="BQZ165" s="33"/>
      <c r="BRJ165" s="33"/>
      <c r="BRT165" s="33"/>
      <c r="BSD165" s="33"/>
      <c r="BSN165" s="33"/>
      <c r="BSX165" s="33"/>
      <c r="BTH165" s="33"/>
      <c r="BTR165" s="33"/>
      <c r="BUB165" s="33"/>
      <c r="BUL165" s="33"/>
      <c r="BUV165" s="33"/>
      <c r="BVF165" s="33"/>
      <c r="BVP165" s="33"/>
      <c r="BVZ165" s="33"/>
      <c r="BWJ165" s="33"/>
      <c r="BWT165" s="33"/>
      <c r="BXD165" s="33"/>
      <c r="BXN165" s="33"/>
      <c r="BXX165" s="33"/>
      <c r="BYH165" s="33"/>
      <c r="BYR165" s="33"/>
      <c r="BZB165" s="33"/>
      <c r="BZL165" s="33"/>
      <c r="BZV165" s="33"/>
      <c r="CAF165" s="33"/>
      <c r="CAP165" s="33"/>
      <c r="CAZ165" s="33"/>
      <c r="CBJ165" s="33"/>
      <c r="CBT165" s="33"/>
      <c r="CCD165" s="33"/>
      <c r="CCN165" s="33"/>
      <c r="CCX165" s="33"/>
      <c r="CDH165" s="33"/>
      <c r="CDR165" s="33"/>
      <c r="CEB165" s="33"/>
      <c r="CEL165" s="33"/>
      <c r="CEV165" s="33"/>
      <c r="CFF165" s="33"/>
      <c r="CFP165" s="33"/>
      <c r="CFZ165" s="33"/>
      <c r="CGJ165" s="33"/>
      <c r="CGT165" s="33"/>
      <c r="CHD165" s="33"/>
      <c r="CHN165" s="33"/>
      <c r="CHX165" s="33"/>
      <c r="CIH165" s="33"/>
      <c r="CIR165" s="33"/>
      <c r="CJB165" s="33"/>
      <c r="CJL165" s="33"/>
      <c r="CJV165" s="33"/>
      <c r="CKF165" s="33"/>
      <c r="CKP165" s="33"/>
      <c r="CKZ165" s="33"/>
      <c r="CLJ165" s="33"/>
      <c r="CLT165" s="33"/>
      <c r="CMD165" s="33"/>
      <c r="CMN165" s="33"/>
      <c r="CMX165" s="33"/>
      <c r="CNH165" s="33"/>
      <c r="CNR165" s="33"/>
      <c r="COB165" s="33"/>
      <c r="COL165" s="33"/>
      <c r="COV165" s="33"/>
      <c r="CPF165" s="33"/>
      <c r="CPP165" s="33"/>
      <c r="CPZ165" s="33"/>
      <c r="CQJ165" s="33"/>
      <c r="CQT165" s="33"/>
      <c r="CRD165" s="33"/>
      <c r="CRN165" s="33"/>
      <c r="CRX165" s="33"/>
      <c r="CSH165" s="33"/>
      <c r="CSR165" s="33"/>
      <c r="CTB165" s="33"/>
      <c r="CTL165" s="33"/>
      <c r="CTV165" s="33"/>
    </row>
    <row r="166" s="16" customFormat="1" customHeight="1" spans="1:1020 1030:2040 2050:2570">
      <c r="A166" s="57"/>
      <c r="B166" s="52"/>
      <c r="C166" s="52"/>
      <c r="D166" s="52"/>
      <c r="E166" s="52"/>
      <c r="F166" s="58" t="str">
        <f>IFERROR(VLOOKUP(E166,日报!E:G,2,0),"")</f>
        <v/>
      </c>
      <c r="G166" s="52"/>
      <c r="H166" s="53" t="str">
        <f>IFERROR(VLOOKUP(E166,基础数据!$E$4:$H$4,4,0),"")</f>
        <v/>
      </c>
      <c r="I166" s="53" t="str">
        <f>IFERROR(VLOOKUP(E166,基础数据!$E$4:$H$4,3,0),"")</f>
        <v/>
      </c>
      <c r="J166" s="52"/>
      <c r="K166" s="54" t="str">
        <f t="shared" si="2"/>
        <v/>
      </c>
      <c r="T166" s="33"/>
      <c r="AD166" s="33"/>
      <c r="AN166" s="33"/>
      <c r="AX166" s="33"/>
      <c r="BH166" s="33"/>
      <c r="BR166" s="33"/>
      <c r="CB166" s="33"/>
      <c r="CL166" s="33"/>
      <c r="CV166" s="33"/>
      <c r="DF166" s="33"/>
      <c r="DP166" s="33"/>
      <c r="DZ166" s="33"/>
      <c r="EJ166" s="33"/>
      <c r="ET166" s="33"/>
      <c r="FD166" s="33"/>
      <c r="FN166" s="33"/>
      <c r="FX166" s="33"/>
      <c r="GH166" s="33"/>
      <c r="GR166" s="33"/>
      <c r="HB166" s="33"/>
      <c r="HL166" s="33"/>
      <c r="HV166" s="33"/>
      <c r="IF166" s="33"/>
      <c r="IP166" s="33"/>
      <c r="IZ166" s="33"/>
      <c r="JJ166" s="33"/>
      <c r="JT166" s="33"/>
      <c r="KD166" s="33"/>
      <c r="KN166" s="33"/>
      <c r="KX166" s="33"/>
      <c r="LH166" s="33"/>
      <c r="LR166" s="33"/>
      <c r="MB166" s="33"/>
      <c r="ML166" s="33"/>
      <c r="MV166" s="33"/>
      <c r="NF166" s="33"/>
      <c r="NP166" s="33"/>
      <c r="NZ166" s="33"/>
      <c r="OJ166" s="33"/>
      <c r="OT166" s="33"/>
      <c r="PD166" s="33"/>
      <c r="PN166" s="33"/>
      <c r="PX166" s="33"/>
      <c r="QH166" s="33"/>
      <c r="QR166" s="33"/>
      <c r="RB166" s="33"/>
      <c r="RL166" s="33"/>
      <c r="RV166" s="33"/>
      <c r="SF166" s="33"/>
      <c r="SP166" s="33"/>
      <c r="SZ166" s="33"/>
      <c r="TJ166" s="33"/>
      <c r="TT166" s="33"/>
      <c r="UD166" s="33"/>
      <c r="UN166" s="33"/>
      <c r="UX166" s="33"/>
      <c r="VH166" s="33"/>
      <c r="VR166" s="33"/>
      <c r="WB166" s="33"/>
      <c r="WL166" s="33"/>
      <c r="WV166" s="33"/>
      <c r="XF166" s="33"/>
      <c r="XP166" s="33"/>
      <c r="XZ166" s="33"/>
      <c r="YJ166" s="33"/>
      <c r="YT166" s="33"/>
      <c r="ZD166" s="33"/>
      <c r="ZN166" s="33"/>
      <c r="ZX166" s="33"/>
      <c r="AAH166" s="33"/>
      <c r="AAR166" s="33"/>
      <c r="ABB166" s="33"/>
      <c r="ABL166" s="33"/>
      <c r="ABV166" s="33"/>
      <c r="ACF166" s="33"/>
      <c r="ACP166" s="33"/>
      <c r="ACZ166" s="33"/>
      <c r="ADJ166" s="33"/>
      <c r="ADT166" s="33"/>
      <c r="AED166" s="33"/>
      <c r="AEN166" s="33"/>
      <c r="AEX166" s="33"/>
      <c r="AFH166" s="33"/>
      <c r="AFR166" s="33"/>
      <c r="AGB166" s="33"/>
      <c r="AGL166" s="33"/>
      <c r="AGV166" s="33"/>
      <c r="AHF166" s="33"/>
      <c r="AHP166" s="33"/>
      <c r="AHZ166" s="33"/>
      <c r="AIJ166" s="33"/>
      <c r="AIT166" s="33"/>
      <c r="AJD166" s="33"/>
      <c r="AJN166" s="33"/>
      <c r="AJX166" s="33"/>
      <c r="AKH166" s="33"/>
      <c r="AKR166" s="33"/>
      <c r="ALB166" s="33"/>
      <c r="ALL166" s="33"/>
      <c r="ALV166" s="33"/>
      <c r="AMF166" s="33"/>
      <c r="AMP166" s="33"/>
      <c r="AMZ166" s="33"/>
      <c r="ANJ166" s="33"/>
      <c r="ANT166" s="33"/>
      <c r="AOD166" s="33"/>
      <c r="AON166" s="33"/>
      <c r="AOX166" s="33"/>
      <c r="APH166" s="33"/>
      <c r="APR166" s="33"/>
      <c r="AQB166" s="33"/>
      <c r="AQL166" s="33"/>
      <c r="AQV166" s="33"/>
      <c r="ARF166" s="33"/>
      <c r="ARP166" s="33"/>
      <c r="ARZ166" s="33"/>
      <c r="ASJ166" s="33"/>
      <c r="AST166" s="33"/>
      <c r="ATD166" s="33"/>
      <c r="ATN166" s="33"/>
      <c r="ATX166" s="33"/>
      <c r="AUH166" s="33"/>
      <c r="AUR166" s="33"/>
      <c r="AVB166" s="33"/>
      <c r="AVL166" s="33"/>
      <c r="AVV166" s="33"/>
      <c r="AWF166" s="33"/>
      <c r="AWP166" s="33"/>
      <c r="AWZ166" s="33"/>
      <c r="AXJ166" s="33"/>
      <c r="AXT166" s="33"/>
      <c r="AYD166" s="33"/>
      <c r="AYN166" s="33"/>
      <c r="AYX166" s="33"/>
      <c r="AZH166" s="33"/>
      <c r="AZR166" s="33"/>
      <c r="BAB166" s="33"/>
      <c r="BAL166" s="33"/>
      <c r="BAV166" s="33"/>
      <c r="BBF166" s="33"/>
      <c r="BBP166" s="33"/>
      <c r="BBZ166" s="33"/>
      <c r="BCJ166" s="33"/>
      <c r="BCT166" s="33"/>
      <c r="BDD166" s="33"/>
      <c r="BDN166" s="33"/>
      <c r="BDX166" s="33"/>
      <c r="BEH166" s="33"/>
      <c r="BER166" s="33"/>
      <c r="BFB166" s="33"/>
      <c r="BFL166" s="33"/>
      <c r="BFV166" s="33"/>
      <c r="BGF166" s="33"/>
      <c r="BGP166" s="33"/>
      <c r="BGZ166" s="33"/>
      <c r="BHJ166" s="33"/>
      <c r="BHT166" s="33"/>
      <c r="BID166" s="33"/>
      <c r="BIN166" s="33"/>
      <c r="BIX166" s="33"/>
      <c r="BJH166" s="33"/>
      <c r="BJR166" s="33"/>
      <c r="BKB166" s="33"/>
      <c r="BKL166" s="33"/>
      <c r="BKV166" s="33"/>
      <c r="BLF166" s="33"/>
      <c r="BLP166" s="33"/>
      <c r="BLZ166" s="33"/>
      <c r="BMJ166" s="33"/>
      <c r="BMT166" s="33"/>
      <c r="BND166" s="33"/>
      <c r="BNN166" s="33"/>
      <c r="BNX166" s="33"/>
      <c r="BOH166" s="33"/>
      <c r="BOR166" s="33"/>
      <c r="BPB166" s="33"/>
      <c r="BPL166" s="33"/>
      <c r="BPV166" s="33"/>
      <c r="BQF166" s="33"/>
      <c r="BQP166" s="33"/>
      <c r="BQZ166" s="33"/>
      <c r="BRJ166" s="33"/>
      <c r="BRT166" s="33"/>
      <c r="BSD166" s="33"/>
      <c r="BSN166" s="33"/>
      <c r="BSX166" s="33"/>
      <c r="BTH166" s="33"/>
      <c r="BTR166" s="33"/>
      <c r="BUB166" s="33"/>
      <c r="BUL166" s="33"/>
      <c r="BUV166" s="33"/>
      <c r="BVF166" s="33"/>
      <c r="BVP166" s="33"/>
      <c r="BVZ166" s="33"/>
      <c r="BWJ166" s="33"/>
      <c r="BWT166" s="33"/>
      <c r="BXD166" s="33"/>
      <c r="BXN166" s="33"/>
      <c r="BXX166" s="33"/>
      <c r="BYH166" s="33"/>
      <c r="BYR166" s="33"/>
      <c r="BZB166" s="33"/>
      <c r="BZL166" s="33"/>
      <c r="BZV166" s="33"/>
      <c r="CAF166" s="33"/>
      <c r="CAP166" s="33"/>
      <c r="CAZ166" s="33"/>
      <c r="CBJ166" s="33"/>
      <c r="CBT166" s="33"/>
      <c r="CCD166" s="33"/>
      <c r="CCN166" s="33"/>
      <c r="CCX166" s="33"/>
      <c r="CDH166" s="33"/>
      <c r="CDR166" s="33"/>
      <c r="CEB166" s="33"/>
      <c r="CEL166" s="33"/>
      <c r="CEV166" s="33"/>
      <c r="CFF166" s="33"/>
      <c r="CFP166" s="33"/>
      <c r="CFZ166" s="33"/>
      <c r="CGJ166" s="33"/>
      <c r="CGT166" s="33"/>
      <c r="CHD166" s="33"/>
      <c r="CHN166" s="33"/>
      <c r="CHX166" s="33"/>
      <c r="CIH166" s="33"/>
      <c r="CIR166" s="33"/>
      <c r="CJB166" s="33"/>
      <c r="CJL166" s="33"/>
      <c r="CJV166" s="33"/>
      <c r="CKF166" s="33"/>
      <c r="CKP166" s="33"/>
      <c r="CKZ166" s="33"/>
      <c r="CLJ166" s="33"/>
      <c r="CLT166" s="33"/>
      <c r="CMD166" s="33"/>
      <c r="CMN166" s="33"/>
      <c r="CMX166" s="33"/>
      <c r="CNH166" s="33"/>
      <c r="CNR166" s="33"/>
      <c r="COB166" s="33"/>
      <c r="COL166" s="33"/>
      <c r="COV166" s="33"/>
      <c r="CPF166" s="33"/>
      <c r="CPP166" s="33"/>
      <c r="CPZ166" s="33"/>
      <c r="CQJ166" s="33"/>
      <c r="CQT166" s="33"/>
      <c r="CRD166" s="33"/>
      <c r="CRN166" s="33"/>
      <c r="CRX166" s="33"/>
      <c r="CSH166" s="33"/>
      <c r="CSR166" s="33"/>
      <c r="CTB166" s="33"/>
      <c r="CTL166" s="33"/>
      <c r="CTV166" s="33"/>
    </row>
    <row r="167" s="16" customFormat="1" customHeight="1" spans="1:1020 1030:2040 2050:2570">
      <c r="A167" s="57"/>
      <c r="B167" s="52"/>
      <c r="C167" s="52"/>
      <c r="D167" s="52"/>
      <c r="E167" s="52"/>
      <c r="F167" s="58" t="str">
        <f>IFERROR(VLOOKUP(E167,日报!E:G,2,0),"")</f>
        <v/>
      </c>
      <c r="G167" s="52"/>
      <c r="H167" s="53" t="str">
        <f>IFERROR(VLOOKUP(E167,基础数据!$E$4:$H$4,4,0),"")</f>
        <v/>
      </c>
      <c r="I167" s="53" t="str">
        <f>IFERROR(VLOOKUP(E167,基础数据!$E$4:$H$4,3,0),"")</f>
        <v/>
      </c>
      <c r="J167" s="52"/>
      <c r="K167" s="54" t="str">
        <f t="shared" si="2"/>
        <v/>
      </c>
      <c r="T167" s="33"/>
      <c r="AD167" s="33"/>
      <c r="AN167" s="33"/>
      <c r="AX167" s="33"/>
      <c r="BH167" s="33"/>
      <c r="BR167" s="33"/>
      <c r="CB167" s="33"/>
      <c r="CL167" s="33"/>
      <c r="CV167" s="33"/>
      <c r="DF167" s="33"/>
      <c r="DP167" s="33"/>
      <c r="DZ167" s="33"/>
      <c r="EJ167" s="33"/>
      <c r="ET167" s="33"/>
      <c r="FD167" s="33"/>
      <c r="FN167" s="33"/>
      <c r="FX167" s="33"/>
      <c r="GH167" s="33"/>
      <c r="GR167" s="33"/>
      <c r="HB167" s="33"/>
      <c r="HL167" s="33"/>
      <c r="HV167" s="33"/>
      <c r="IF167" s="33"/>
      <c r="IP167" s="33"/>
      <c r="IZ167" s="33"/>
      <c r="JJ167" s="33"/>
      <c r="JT167" s="33"/>
      <c r="KD167" s="33"/>
      <c r="KN167" s="33"/>
      <c r="KX167" s="33"/>
      <c r="LH167" s="33"/>
      <c r="LR167" s="33"/>
      <c r="MB167" s="33"/>
      <c r="ML167" s="33"/>
      <c r="MV167" s="33"/>
      <c r="NF167" s="33"/>
      <c r="NP167" s="33"/>
      <c r="NZ167" s="33"/>
      <c r="OJ167" s="33"/>
      <c r="OT167" s="33"/>
      <c r="PD167" s="33"/>
      <c r="PN167" s="33"/>
      <c r="PX167" s="33"/>
      <c r="QH167" s="33"/>
      <c r="QR167" s="33"/>
      <c r="RB167" s="33"/>
      <c r="RL167" s="33"/>
      <c r="RV167" s="33"/>
      <c r="SF167" s="33"/>
      <c r="SP167" s="33"/>
      <c r="SZ167" s="33"/>
      <c r="TJ167" s="33"/>
      <c r="TT167" s="33"/>
      <c r="UD167" s="33"/>
      <c r="UN167" s="33"/>
      <c r="UX167" s="33"/>
      <c r="VH167" s="33"/>
      <c r="VR167" s="33"/>
      <c r="WB167" s="33"/>
      <c r="WL167" s="33"/>
      <c r="WV167" s="33"/>
      <c r="XF167" s="33"/>
      <c r="XP167" s="33"/>
      <c r="XZ167" s="33"/>
      <c r="YJ167" s="33"/>
      <c r="YT167" s="33"/>
      <c r="ZD167" s="33"/>
      <c r="ZN167" s="33"/>
      <c r="ZX167" s="33"/>
      <c r="AAH167" s="33"/>
      <c r="AAR167" s="33"/>
      <c r="ABB167" s="33"/>
      <c r="ABL167" s="33"/>
      <c r="ABV167" s="33"/>
      <c r="ACF167" s="33"/>
      <c r="ACP167" s="33"/>
      <c r="ACZ167" s="33"/>
      <c r="ADJ167" s="33"/>
      <c r="ADT167" s="33"/>
      <c r="AED167" s="33"/>
      <c r="AEN167" s="33"/>
      <c r="AEX167" s="33"/>
      <c r="AFH167" s="33"/>
      <c r="AFR167" s="33"/>
      <c r="AGB167" s="33"/>
      <c r="AGL167" s="33"/>
      <c r="AGV167" s="33"/>
      <c r="AHF167" s="33"/>
      <c r="AHP167" s="33"/>
      <c r="AHZ167" s="33"/>
      <c r="AIJ167" s="33"/>
      <c r="AIT167" s="33"/>
      <c r="AJD167" s="33"/>
      <c r="AJN167" s="33"/>
      <c r="AJX167" s="33"/>
      <c r="AKH167" s="33"/>
      <c r="AKR167" s="33"/>
      <c r="ALB167" s="33"/>
      <c r="ALL167" s="33"/>
      <c r="ALV167" s="33"/>
      <c r="AMF167" s="33"/>
      <c r="AMP167" s="33"/>
      <c r="AMZ167" s="33"/>
      <c r="ANJ167" s="33"/>
      <c r="ANT167" s="33"/>
      <c r="AOD167" s="33"/>
      <c r="AON167" s="33"/>
      <c r="AOX167" s="33"/>
      <c r="APH167" s="33"/>
      <c r="APR167" s="33"/>
      <c r="AQB167" s="33"/>
      <c r="AQL167" s="33"/>
      <c r="AQV167" s="33"/>
      <c r="ARF167" s="33"/>
      <c r="ARP167" s="33"/>
      <c r="ARZ167" s="33"/>
      <c r="ASJ167" s="33"/>
      <c r="AST167" s="33"/>
      <c r="ATD167" s="33"/>
      <c r="ATN167" s="33"/>
      <c r="ATX167" s="33"/>
      <c r="AUH167" s="33"/>
      <c r="AUR167" s="33"/>
      <c r="AVB167" s="33"/>
      <c r="AVL167" s="33"/>
      <c r="AVV167" s="33"/>
      <c r="AWF167" s="33"/>
      <c r="AWP167" s="33"/>
      <c r="AWZ167" s="33"/>
      <c r="AXJ167" s="33"/>
      <c r="AXT167" s="33"/>
      <c r="AYD167" s="33"/>
      <c r="AYN167" s="33"/>
      <c r="AYX167" s="33"/>
      <c r="AZH167" s="33"/>
      <c r="AZR167" s="33"/>
      <c r="BAB167" s="33"/>
      <c r="BAL167" s="33"/>
      <c r="BAV167" s="33"/>
      <c r="BBF167" s="33"/>
      <c r="BBP167" s="33"/>
      <c r="BBZ167" s="33"/>
      <c r="BCJ167" s="33"/>
      <c r="BCT167" s="33"/>
      <c r="BDD167" s="33"/>
      <c r="BDN167" s="33"/>
      <c r="BDX167" s="33"/>
      <c r="BEH167" s="33"/>
      <c r="BER167" s="33"/>
      <c r="BFB167" s="33"/>
      <c r="BFL167" s="33"/>
      <c r="BFV167" s="33"/>
      <c r="BGF167" s="33"/>
      <c r="BGP167" s="33"/>
      <c r="BGZ167" s="33"/>
      <c r="BHJ167" s="33"/>
      <c r="BHT167" s="33"/>
      <c r="BID167" s="33"/>
      <c r="BIN167" s="33"/>
      <c r="BIX167" s="33"/>
      <c r="BJH167" s="33"/>
      <c r="BJR167" s="33"/>
      <c r="BKB167" s="33"/>
      <c r="BKL167" s="33"/>
      <c r="BKV167" s="33"/>
      <c r="BLF167" s="33"/>
      <c r="BLP167" s="33"/>
      <c r="BLZ167" s="33"/>
      <c r="BMJ167" s="33"/>
      <c r="BMT167" s="33"/>
      <c r="BND167" s="33"/>
      <c r="BNN167" s="33"/>
      <c r="BNX167" s="33"/>
      <c r="BOH167" s="33"/>
      <c r="BOR167" s="33"/>
      <c r="BPB167" s="33"/>
      <c r="BPL167" s="33"/>
      <c r="BPV167" s="33"/>
      <c r="BQF167" s="33"/>
      <c r="BQP167" s="33"/>
      <c r="BQZ167" s="33"/>
      <c r="BRJ167" s="33"/>
      <c r="BRT167" s="33"/>
      <c r="BSD167" s="33"/>
      <c r="BSN167" s="33"/>
      <c r="BSX167" s="33"/>
      <c r="BTH167" s="33"/>
      <c r="BTR167" s="33"/>
      <c r="BUB167" s="33"/>
      <c r="BUL167" s="33"/>
      <c r="BUV167" s="33"/>
      <c r="BVF167" s="33"/>
      <c r="BVP167" s="33"/>
      <c r="BVZ167" s="33"/>
      <c r="BWJ167" s="33"/>
      <c r="BWT167" s="33"/>
      <c r="BXD167" s="33"/>
      <c r="BXN167" s="33"/>
      <c r="BXX167" s="33"/>
      <c r="BYH167" s="33"/>
      <c r="BYR167" s="33"/>
      <c r="BZB167" s="33"/>
      <c r="BZL167" s="33"/>
      <c r="BZV167" s="33"/>
      <c r="CAF167" s="33"/>
      <c r="CAP167" s="33"/>
      <c r="CAZ167" s="33"/>
      <c r="CBJ167" s="33"/>
      <c r="CBT167" s="33"/>
      <c r="CCD167" s="33"/>
      <c r="CCN167" s="33"/>
      <c r="CCX167" s="33"/>
      <c r="CDH167" s="33"/>
      <c r="CDR167" s="33"/>
      <c r="CEB167" s="33"/>
      <c r="CEL167" s="33"/>
      <c r="CEV167" s="33"/>
      <c r="CFF167" s="33"/>
      <c r="CFP167" s="33"/>
      <c r="CFZ167" s="33"/>
      <c r="CGJ167" s="33"/>
      <c r="CGT167" s="33"/>
      <c r="CHD167" s="33"/>
      <c r="CHN167" s="33"/>
      <c r="CHX167" s="33"/>
      <c r="CIH167" s="33"/>
      <c r="CIR167" s="33"/>
      <c r="CJB167" s="33"/>
      <c r="CJL167" s="33"/>
      <c r="CJV167" s="33"/>
      <c r="CKF167" s="33"/>
      <c r="CKP167" s="33"/>
      <c r="CKZ167" s="33"/>
      <c r="CLJ167" s="33"/>
      <c r="CLT167" s="33"/>
      <c r="CMD167" s="33"/>
      <c r="CMN167" s="33"/>
      <c r="CMX167" s="33"/>
      <c r="CNH167" s="33"/>
      <c r="CNR167" s="33"/>
      <c r="COB167" s="33"/>
      <c r="COL167" s="33"/>
      <c r="COV167" s="33"/>
      <c r="CPF167" s="33"/>
      <c r="CPP167" s="33"/>
      <c r="CPZ167" s="33"/>
      <c r="CQJ167" s="33"/>
      <c r="CQT167" s="33"/>
      <c r="CRD167" s="33"/>
      <c r="CRN167" s="33"/>
      <c r="CRX167" s="33"/>
      <c r="CSH167" s="33"/>
      <c r="CSR167" s="33"/>
      <c r="CTB167" s="33"/>
      <c r="CTL167" s="33"/>
      <c r="CTV167" s="33"/>
    </row>
    <row r="168" s="16" customFormat="1" customHeight="1" spans="1:1020 1030:2040 2050:2570">
      <c r="A168" s="57"/>
      <c r="B168" s="52"/>
      <c r="C168" s="52"/>
      <c r="D168" s="52"/>
      <c r="E168" s="52"/>
      <c r="F168" s="58" t="str">
        <f>IFERROR(VLOOKUP(E168,日报!E:G,2,0),"")</f>
        <v/>
      </c>
      <c r="G168" s="52"/>
      <c r="H168" s="53" t="str">
        <f>IFERROR(VLOOKUP(E168,基础数据!$E$4:$H$4,4,0),"")</f>
        <v/>
      </c>
      <c r="I168" s="53" t="str">
        <f>IFERROR(VLOOKUP(E168,基础数据!$E$4:$H$4,3,0),"")</f>
        <v/>
      </c>
      <c r="J168" s="52"/>
      <c r="K168" s="54" t="str">
        <f t="shared" si="2"/>
        <v/>
      </c>
      <c r="T168" s="33"/>
      <c r="AD168" s="33"/>
      <c r="AN168" s="33"/>
      <c r="AX168" s="33"/>
      <c r="BH168" s="33"/>
      <c r="BR168" s="33"/>
      <c r="CB168" s="33"/>
      <c r="CL168" s="33"/>
      <c r="CV168" s="33"/>
      <c r="DF168" s="33"/>
      <c r="DP168" s="33"/>
      <c r="DZ168" s="33"/>
      <c r="EJ168" s="33"/>
      <c r="ET168" s="33"/>
      <c r="FD168" s="33"/>
      <c r="FN168" s="33"/>
      <c r="FX168" s="33"/>
      <c r="GH168" s="33"/>
      <c r="GR168" s="33"/>
      <c r="HB168" s="33"/>
      <c r="HL168" s="33"/>
      <c r="HV168" s="33"/>
      <c r="IF168" s="33"/>
      <c r="IP168" s="33"/>
      <c r="IZ168" s="33"/>
      <c r="JJ168" s="33"/>
      <c r="JT168" s="33"/>
      <c r="KD168" s="33"/>
      <c r="KN168" s="33"/>
      <c r="KX168" s="33"/>
      <c r="LH168" s="33"/>
      <c r="LR168" s="33"/>
      <c r="MB168" s="33"/>
      <c r="ML168" s="33"/>
      <c r="MV168" s="33"/>
      <c r="NF168" s="33"/>
      <c r="NP168" s="33"/>
      <c r="NZ168" s="33"/>
      <c r="OJ168" s="33"/>
      <c r="OT168" s="33"/>
      <c r="PD168" s="33"/>
      <c r="PN168" s="33"/>
      <c r="PX168" s="33"/>
      <c r="QH168" s="33"/>
      <c r="QR168" s="33"/>
      <c r="RB168" s="33"/>
      <c r="RL168" s="33"/>
      <c r="RV168" s="33"/>
      <c r="SF168" s="33"/>
      <c r="SP168" s="33"/>
      <c r="SZ168" s="33"/>
      <c r="TJ168" s="33"/>
      <c r="TT168" s="33"/>
      <c r="UD168" s="33"/>
      <c r="UN168" s="33"/>
      <c r="UX168" s="33"/>
      <c r="VH168" s="33"/>
      <c r="VR168" s="33"/>
      <c r="WB168" s="33"/>
      <c r="WL168" s="33"/>
      <c r="WV168" s="33"/>
      <c r="XF168" s="33"/>
      <c r="XP168" s="33"/>
      <c r="XZ168" s="33"/>
      <c r="YJ168" s="33"/>
      <c r="YT168" s="33"/>
      <c r="ZD168" s="33"/>
      <c r="ZN168" s="33"/>
      <c r="ZX168" s="33"/>
      <c r="AAH168" s="33"/>
      <c r="AAR168" s="33"/>
      <c r="ABB168" s="33"/>
      <c r="ABL168" s="33"/>
      <c r="ABV168" s="33"/>
      <c r="ACF168" s="33"/>
      <c r="ACP168" s="33"/>
      <c r="ACZ168" s="33"/>
      <c r="ADJ168" s="33"/>
      <c r="ADT168" s="33"/>
      <c r="AED168" s="33"/>
      <c r="AEN168" s="33"/>
      <c r="AEX168" s="33"/>
      <c r="AFH168" s="33"/>
      <c r="AFR168" s="33"/>
      <c r="AGB168" s="33"/>
      <c r="AGL168" s="33"/>
      <c r="AGV168" s="33"/>
      <c r="AHF168" s="33"/>
      <c r="AHP168" s="33"/>
      <c r="AHZ168" s="33"/>
      <c r="AIJ168" s="33"/>
      <c r="AIT168" s="33"/>
      <c r="AJD168" s="33"/>
      <c r="AJN168" s="33"/>
      <c r="AJX168" s="33"/>
      <c r="AKH168" s="33"/>
      <c r="AKR168" s="33"/>
      <c r="ALB168" s="33"/>
      <c r="ALL168" s="33"/>
      <c r="ALV168" s="33"/>
      <c r="AMF168" s="33"/>
      <c r="AMP168" s="33"/>
      <c r="AMZ168" s="33"/>
      <c r="ANJ168" s="33"/>
      <c r="ANT168" s="33"/>
      <c r="AOD168" s="33"/>
      <c r="AON168" s="33"/>
      <c r="AOX168" s="33"/>
      <c r="APH168" s="33"/>
      <c r="APR168" s="33"/>
      <c r="AQB168" s="33"/>
      <c r="AQL168" s="33"/>
      <c r="AQV168" s="33"/>
      <c r="ARF168" s="33"/>
      <c r="ARP168" s="33"/>
      <c r="ARZ168" s="33"/>
      <c r="ASJ168" s="33"/>
      <c r="AST168" s="33"/>
      <c r="ATD168" s="33"/>
      <c r="ATN168" s="33"/>
      <c r="ATX168" s="33"/>
      <c r="AUH168" s="33"/>
      <c r="AUR168" s="33"/>
      <c r="AVB168" s="33"/>
      <c r="AVL168" s="33"/>
      <c r="AVV168" s="33"/>
      <c r="AWF168" s="33"/>
      <c r="AWP168" s="33"/>
      <c r="AWZ168" s="33"/>
      <c r="AXJ168" s="33"/>
      <c r="AXT168" s="33"/>
      <c r="AYD168" s="33"/>
      <c r="AYN168" s="33"/>
      <c r="AYX168" s="33"/>
      <c r="AZH168" s="33"/>
      <c r="AZR168" s="33"/>
      <c r="BAB168" s="33"/>
      <c r="BAL168" s="33"/>
      <c r="BAV168" s="33"/>
      <c r="BBF168" s="33"/>
      <c r="BBP168" s="33"/>
      <c r="BBZ168" s="33"/>
      <c r="BCJ168" s="33"/>
      <c r="BCT168" s="33"/>
      <c r="BDD168" s="33"/>
      <c r="BDN168" s="33"/>
      <c r="BDX168" s="33"/>
      <c r="BEH168" s="33"/>
      <c r="BER168" s="33"/>
      <c r="BFB168" s="33"/>
      <c r="BFL168" s="33"/>
      <c r="BFV168" s="33"/>
      <c r="BGF168" s="33"/>
      <c r="BGP168" s="33"/>
      <c r="BGZ168" s="33"/>
      <c r="BHJ168" s="33"/>
      <c r="BHT168" s="33"/>
      <c r="BID168" s="33"/>
      <c r="BIN168" s="33"/>
      <c r="BIX168" s="33"/>
      <c r="BJH168" s="33"/>
      <c r="BJR168" s="33"/>
      <c r="BKB168" s="33"/>
      <c r="BKL168" s="33"/>
      <c r="BKV168" s="33"/>
      <c r="BLF168" s="33"/>
      <c r="BLP168" s="33"/>
      <c r="BLZ168" s="33"/>
      <c r="BMJ168" s="33"/>
      <c r="BMT168" s="33"/>
      <c r="BND168" s="33"/>
      <c r="BNN168" s="33"/>
      <c r="BNX168" s="33"/>
      <c r="BOH168" s="33"/>
      <c r="BOR168" s="33"/>
      <c r="BPB168" s="33"/>
      <c r="BPL168" s="33"/>
      <c r="BPV168" s="33"/>
      <c r="BQF168" s="33"/>
      <c r="BQP168" s="33"/>
      <c r="BQZ168" s="33"/>
      <c r="BRJ168" s="33"/>
      <c r="BRT168" s="33"/>
      <c r="BSD168" s="33"/>
      <c r="BSN168" s="33"/>
      <c r="BSX168" s="33"/>
      <c r="BTH168" s="33"/>
      <c r="BTR168" s="33"/>
      <c r="BUB168" s="33"/>
      <c r="BUL168" s="33"/>
      <c r="BUV168" s="33"/>
      <c r="BVF168" s="33"/>
      <c r="BVP168" s="33"/>
      <c r="BVZ168" s="33"/>
      <c r="BWJ168" s="33"/>
      <c r="BWT168" s="33"/>
      <c r="BXD168" s="33"/>
      <c r="BXN168" s="33"/>
      <c r="BXX168" s="33"/>
      <c r="BYH168" s="33"/>
      <c r="BYR168" s="33"/>
      <c r="BZB168" s="33"/>
      <c r="BZL168" s="33"/>
      <c r="BZV168" s="33"/>
      <c r="CAF168" s="33"/>
      <c r="CAP168" s="33"/>
      <c r="CAZ168" s="33"/>
      <c r="CBJ168" s="33"/>
      <c r="CBT168" s="33"/>
      <c r="CCD168" s="33"/>
      <c r="CCN168" s="33"/>
      <c r="CCX168" s="33"/>
      <c r="CDH168" s="33"/>
      <c r="CDR168" s="33"/>
      <c r="CEB168" s="33"/>
      <c r="CEL168" s="33"/>
      <c r="CEV168" s="33"/>
      <c r="CFF168" s="33"/>
      <c r="CFP168" s="33"/>
      <c r="CFZ168" s="33"/>
      <c r="CGJ168" s="33"/>
      <c r="CGT168" s="33"/>
      <c r="CHD168" s="33"/>
      <c r="CHN168" s="33"/>
      <c r="CHX168" s="33"/>
      <c r="CIH168" s="33"/>
      <c r="CIR168" s="33"/>
      <c r="CJB168" s="33"/>
      <c r="CJL168" s="33"/>
      <c r="CJV168" s="33"/>
      <c r="CKF168" s="33"/>
      <c r="CKP168" s="33"/>
      <c r="CKZ168" s="33"/>
      <c r="CLJ168" s="33"/>
      <c r="CLT168" s="33"/>
      <c r="CMD168" s="33"/>
      <c r="CMN168" s="33"/>
      <c r="CMX168" s="33"/>
      <c r="CNH168" s="33"/>
      <c r="CNR168" s="33"/>
      <c r="COB168" s="33"/>
      <c r="COL168" s="33"/>
      <c r="COV168" s="33"/>
      <c r="CPF168" s="33"/>
      <c r="CPP168" s="33"/>
      <c r="CPZ168" s="33"/>
      <c r="CQJ168" s="33"/>
      <c r="CQT168" s="33"/>
      <c r="CRD168" s="33"/>
      <c r="CRN168" s="33"/>
      <c r="CRX168" s="33"/>
      <c r="CSH168" s="33"/>
      <c r="CSR168" s="33"/>
      <c r="CTB168" s="33"/>
      <c r="CTL168" s="33"/>
      <c r="CTV168" s="33"/>
    </row>
    <row r="169" s="16" customFormat="1" customHeight="1" spans="1:1020 1030:2040 2050:2570">
      <c r="A169" s="57"/>
      <c r="B169" s="52"/>
      <c r="C169" s="52"/>
      <c r="D169" s="52"/>
      <c r="E169" s="52"/>
      <c r="F169" s="58" t="str">
        <f>IFERROR(VLOOKUP(E169,日报!E:G,2,0),"")</f>
        <v/>
      </c>
      <c r="G169" s="52"/>
      <c r="H169" s="53" t="str">
        <f>IFERROR(VLOOKUP(E169,基础数据!$E$4:$H$4,4,0),"")</f>
        <v/>
      </c>
      <c r="I169" s="53" t="str">
        <f>IFERROR(VLOOKUP(E169,基础数据!$E$4:$H$4,3,0),"")</f>
        <v/>
      </c>
      <c r="J169" s="52"/>
      <c r="K169" s="54" t="str">
        <f t="shared" si="2"/>
        <v/>
      </c>
      <c r="T169" s="33"/>
      <c r="AD169" s="33"/>
      <c r="AN169" s="33"/>
      <c r="AX169" s="33"/>
      <c r="BH169" s="33"/>
      <c r="BR169" s="33"/>
      <c r="CB169" s="33"/>
      <c r="CL169" s="33"/>
      <c r="CV169" s="33"/>
      <c r="DF169" s="33"/>
      <c r="DP169" s="33"/>
      <c r="DZ169" s="33"/>
      <c r="EJ169" s="33"/>
      <c r="ET169" s="33"/>
      <c r="FD169" s="33"/>
      <c r="FN169" s="33"/>
      <c r="FX169" s="33"/>
      <c r="GH169" s="33"/>
      <c r="GR169" s="33"/>
      <c r="HB169" s="33"/>
      <c r="HL169" s="33"/>
      <c r="HV169" s="33"/>
      <c r="IF169" s="33"/>
      <c r="IP169" s="33"/>
      <c r="IZ169" s="33"/>
      <c r="JJ169" s="33"/>
      <c r="JT169" s="33"/>
      <c r="KD169" s="33"/>
      <c r="KN169" s="33"/>
      <c r="KX169" s="33"/>
      <c r="LH169" s="33"/>
      <c r="LR169" s="33"/>
      <c r="MB169" s="33"/>
      <c r="ML169" s="33"/>
      <c r="MV169" s="33"/>
      <c r="NF169" s="33"/>
      <c r="NP169" s="33"/>
      <c r="NZ169" s="33"/>
      <c r="OJ169" s="33"/>
      <c r="OT169" s="33"/>
      <c r="PD169" s="33"/>
      <c r="PN169" s="33"/>
      <c r="PX169" s="33"/>
      <c r="QH169" s="33"/>
      <c r="QR169" s="33"/>
      <c r="RB169" s="33"/>
      <c r="RL169" s="33"/>
      <c r="RV169" s="33"/>
      <c r="SF169" s="33"/>
      <c r="SP169" s="33"/>
      <c r="SZ169" s="33"/>
      <c r="TJ169" s="33"/>
      <c r="TT169" s="33"/>
      <c r="UD169" s="33"/>
      <c r="UN169" s="33"/>
      <c r="UX169" s="33"/>
      <c r="VH169" s="33"/>
      <c r="VR169" s="33"/>
      <c r="WB169" s="33"/>
      <c r="WL169" s="33"/>
      <c r="WV169" s="33"/>
      <c r="XF169" s="33"/>
      <c r="XP169" s="33"/>
      <c r="XZ169" s="33"/>
      <c r="YJ169" s="33"/>
      <c r="YT169" s="33"/>
      <c r="ZD169" s="33"/>
      <c r="ZN169" s="33"/>
      <c r="ZX169" s="33"/>
      <c r="AAH169" s="33"/>
      <c r="AAR169" s="33"/>
      <c r="ABB169" s="33"/>
      <c r="ABL169" s="33"/>
      <c r="ABV169" s="33"/>
      <c r="ACF169" s="33"/>
      <c r="ACP169" s="33"/>
      <c r="ACZ169" s="33"/>
      <c r="ADJ169" s="33"/>
      <c r="ADT169" s="33"/>
      <c r="AED169" s="33"/>
      <c r="AEN169" s="33"/>
      <c r="AEX169" s="33"/>
      <c r="AFH169" s="33"/>
      <c r="AFR169" s="33"/>
      <c r="AGB169" s="33"/>
      <c r="AGL169" s="33"/>
      <c r="AGV169" s="33"/>
      <c r="AHF169" s="33"/>
      <c r="AHP169" s="33"/>
      <c r="AHZ169" s="33"/>
      <c r="AIJ169" s="33"/>
      <c r="AIT169" s="33"/>
      <c r="AJD169" s="33"/>
      <c r="AJN169" s="33"/>
      <c r="AJX169" s="33"/>
      <c r="AKH169" s="33"/>
      <c r="AKR169" s="33"/>
      <c r="ALB169" s="33"/>
      <c r="ALL169" s="33"/>
      <c r="ALV169" s="33"/>
      <c r="AMF169" s="33"/>
      <c r="AMP169" s="33"/>
      <c r="AMZ169" s="33"/>
      <c r="ANJ169" s="33"/>
      <c r="ANT169" s="33"/>
      <c r="AOD169" s="33"/>
      <c r="AON169" s="33"/>
      <c r="AOX169" s="33"/>
      <c r="APH169" s="33"/>
      <c r="APR169" s="33"/>
      <c r="AQB169" s="33"/>
      <c r="AQL169" s="33"/>
      <c r="AQV169" s="33"/>
      <c r="ARF169" s="33"/>
      <c r="ARP169" s="33"/>
      <c r="ARZ169" s="33"/>
      <c r="ASJ169" s="33"/>
      <c r="AST169" s="33"/>
      <c r="ATD169" s="33"/>
      <c r="ATN169" s="33"/>
      <c r="ATX169" s="33"/>
      <c r="AUH169" s="33"/>
      <c r="AUR169" s="33"/>
      <c r="AVB169" s="33"/>
      <c r="AVL169" s="33"/>
      <c r="AVV169" s="33"/>
      <c r="AWF169" s="33"/>
      <c r="AWP169" s="33"/>
      <c r="AWZ169" s="33"/>
      <c r="AXJ169" s="33"/>
      <c r="AXT169" s="33"/>
      <c r="AYD169" s="33"/>
      <c r="AYN169" s="33"/>
      <c r="AYX169" s="33"/>
      <c r="AZH169" s="33"/>
      <c r="AZR169" s="33"/>
      <c r="BAB169" s="33"/>
      <c r="BAL169" s="33"/>
      <c r="BAV169" s="33"/>
      <c r="BBF169" s="33"/>
      <c r="BBP169" s="33"/>
      <c r="BBZ169" s="33"/>
      <c r="BCJ169" s="33"/>
      <c r="BCT169" s="33"/>
      <c r="BDD169" s="33"/>
      <c r="BDN169" s="33"/>
      <c r="BDX169" s="33"/>
      <c r="BEH169" s="33"/>
      <c r="BER169" s="33"/>
      <c r="BFB169" s="33"/>
      <c r="BFL169" s="33"/>
      <c r="BFV169" s="33"/>
      <c r="BGF169" s="33"/>
      <c r="BGP169" s="33"/>
      <c r="BGZ169" s="33"/>
      <c r="BHJ169" s="33"/>
      <c r="BHT169" s="33"/>
      <c r="BID169" s="33"/>
      <c r="BIN169" s="33"/>
      <c r="BIX169" s="33"/>
      <c r="BJH169" s="33"/>
      <c r="BJR169" s="33"/>
      <c r="BKB169" s="33"/>
      <c r="BKL169" s="33"/>
      <c r="BKV169" s="33"/>
      <c r="BLF169" s="33"/>
      <c r="BLP169" s="33"/>
      <c r="BLZ169" s="33"/>
      <c r="BMJ169" s="33"/>
      <c r="BMT169" s="33"/>
      <c r="BND169" s="33"/>
      <c r="BNN169" s="33"/>
      <c r="BNX169" s="33"/>
      <c r="BOH169" s="33"/>
      <c r="BOR169" s="33"/>
      <c r="BPB169" s="33"/>
      <c r="BPL169" s="33"/>
      <c r="BPV169" s="33"/>
      <c r="BQF169" s="33"/>
      <c r="BQP169" s="33"/>
      <c r="BQZ169" s="33"/>
      <c r="BRJ169" s="33"/>
      <c r="BRT169" s="33"/>
      <c r="BSD169" s="33"/>
      <c r="BSN169" s="33"/>
      <c r="BSX169" s="33"/>
      <c r="BTH169" s="33"/>
      <c r="BTR169" s="33"/>
      <c r="BUB169" s="33"/>
      <c r="BUL169" s="33"/>
      <c r="BUV169" s="33"/>
      <c r="BVF169" s="33"/>
      <c r="BVP169" s="33"/>
      <c r="BVZ169" s="33"/>
      <c r="BWJ169" s="33"/>
      <c r="BWT169" s="33"/>
      <c r="BXD169" s="33"/>
      <c r="BXN169" s="33"/>
      <c r="BXX169" s="33"/>
      <c r="BYH169" s="33"/>
      <c r="BYR169" s="33"/>
      <c r="BZB169" s="33"/>
      <c r="BZL169" s="33"/>
      <c r="BZV169" s="33"/>
      <c r="CAF169" s="33"/>
      <c r="CAP169" s="33"/>
      <c r="CAZ169" s="33"/>
      <c r="CBJ169" s="33"/>
      <c r="CBT169" s="33"/>
      <c r="CCD169" s="33"/>
      <c r="CCN169" s="33"/>
      <c r="CCX169" s="33"/>
      <c r="CDH169" s="33"/>
      <c r="CDR169" s="33"/>
      <c r="CEB169" s="33"/>
      <c r="CEL169" s="33"/>
      <c r="CEV169" s="33"/>
      <c r="CFF169" s="33"/>
      <c r="CFP169" s="33"/>
      <c r="CFZ169" s="33"/>
      <c r="CGJ169" s="33"/>
      <c r="CGT169" s="33"/>
      <c r="CHD169" s="33"/>
      <c r="CHN169" s="33"/>
      <c r="CHX169" s="33"/>
      <c r="CIH169" s="33"/>
      <c r="CIR169" s="33"/>
      <c r="CJB169" s="33"/>
      <c r="CJL169" s="33"/>
      <c r="CJV169" s="33"/>
      <c r="CKF169" s="33"/>
      <c r="CKP169" s="33"/>
      <c r="CKZ169" s="33"/>
      <c r="CLJ169" s="33"/>
      <c r="CLT169" s="33"/>
      <c r="CMD169" s="33"/>
      <c r="CMN169" s="33"/>
      <c r="CMX169" s="33"/>
      <c r="CNH169" s="33"/>
      <c r="CNR169" s="33"/>
      <c r="COB169" s="33"/>
      <c r="COL169" s="33"/>
      <c r="COV169" s="33"/>
      <c r="CPF169" s="33"/>
      <c r="CPP169" s="33"/>
      <c r="CPZ169" s="33"/>
      <c r="CQJ169" s="33"/>
      <c r="CQT169" s="33"/>
      <c r="CRD169" s="33"/>
      <c r="CRN169" s="33"/>
      <c r="CRX169" s="33"/>
      <c r="CSH169" s="33"/>
      <c r="CSR169" s="33"/>
      <c r="CTB169" s="33"/>
      <c r="CTL169" s="33"/>
      <c r="CTV169" s="33"/>
    </row>
    <row r="170" s="16" customFormat="1" customHeight="1" spans="1:1020 1030:2040 2050:2570">
      <c r="A170" s="57"/>
      <c r="B170" s="52"/>
      <c r="C170" s="52"/>
      <c r="D170" s="52"/>
      <c r="E170" s="52"/>
      <c r="F170" s="58" t="str">
        <f>IFERROR(VLOOKUP(E170,日报!E:G,2,0),"")</f>
        <v/>
      </c>
      <c r="G170" s="52"/>
      <c r="H170" s="53" t="str">
        <f>IFERROR(VLOOKUP(E170,基础数据!$E$4:$H$4,4,0),"")</f>
        <v/>
      </c>
      <c r="I170" s="53" t="str">
        <f>IFERROR(VLOOKUP(E170,基础数据!$E$4:$H$4,3,0),"")</f>
        <v/>
      </c>
      <c r="J170" s="52"/>
      <c r="K170" s="54" t="str">
        <f t="shared" si="2"/>
        <v/>
      </c>
      <c r="T170" s="33"/>
      <c r="AD170" s="33"/>
      <c r="AN170" s="33"/>
      <c r="AX170" s="33"/>
      <c r="BH170" s="33"/>
      <c r="BR170" s="33"/>
      <c r="CB170" s="33"/>
      <c r="CL170" s="33"/>
      <c r="CV170" s="33"/>
      <c r="DF170" s="33"/>
      <c r="DP170" s="33"/>
      <c r="DZ170" s="33"/>
      <c r="EJ170" s="33"/>
      <c r="ET170" s="33"/>
      <c r="FD170" s="33"/>
      <c r="FN170" s="33"/>
      <c r="FX170" s="33"/>
      <c r="GH170" s="33"/>
      <c r="GR170" s="33"/>
      <c r="HB170" s="33"/>
      <c r="HL170" s="33"/>
      <c r="HV170" s="33"/>
      <c r="IF170" s="33"/>
      <c r="IP170" s="33"/>
      <c r="IZ170" s="33"/>
      <c r="JJ170" s="33"/>
      <c r="JT170" s="33"/>
      <c r="KD170" s="33"/>
      <c r="KN170" s="33"/>
      <c r="KX170" s="33"/>
      <c r="LH170" s="33"/>
      <c r="LR170" s="33"/>
      <c r="MB170" s="33"/>
      <c r="ML170" s="33"/>
      <c r="MV170" s="33"/>
      <c r="NF170" s="33"/>
      <c r="NP170" s="33"/>
      <c r="NZ170" s="33"/>
      <c r="OJ170" s="33"/>
      <c r="OT170" s="33"/>
      <c r="PD170" s="33"/>
      <c r="PN170" s="33"/>
      <c r="PX170" s="33"/>
      <c r="QH170" s="33"/>
      <c r="QR170" s="33"/>
      <c r="RB170" s="33"/>
      <c r="RL170" s="33"/>
      <c r="RV170" s="33"/>
      <c r="SF170" s="33"/>
      <c r="SP170" s="33"/>
      <c r="SZ170" s="33"/>
      <c r="TJ170" s="33"/>
      <c r="TT170" s="33"/>
      <c r="UD170" s="33"/>
      <c r="UN170" s="33"/>
      <c r="UX170" s="33"/>
      <c r="VH170" s="33"/>
      <c r="VR170" s="33"/>
      <c r="WB170" s="33"/>
      <c r="WL170" s="33"/>
      <c r="WV170" s="33"/>
      <c r="XF170" s="33"/>
      <c r="XP170" s="33"/>
      <c r="XZ170" s="33"/>
      <c r="YJ170" s="33"/>
      <c r="YT170" s="33"/>
      <c r="ZD170" s="33"/>
      <c r="ZN170" s="33"/>
      <c r="ZX170" s="33"/>
      <c r="AAH170" s="33"/>
      <c r="AAR170" s="33"/>
      <c r="ABB170" s="33"/>
      <c r="ABL170" s="33"/>
      <c r="ABV170" s="33"/>
      <c r="ACF170" s="33"/>
      <c r="ACP170" s="33"/>
      <c r="ACZ170" s="33"/>
      <c r="ADJ170" s="33"/>
      <c r="ADT170" s="33"/>
      <c r="AED170" s="33"/>
      <c r="AEN170" s="33"/>
      <c r="AEX170" s="33"/>
      <c r="AFH170" s="33"/>
      <c r="AFR170" s="33"/>
      <c r="AGB170" s="33"/>
      <c r="AGL170" s="33"/>
      <c r="AGV170" s="33"/>
      <c r="AHF170" s="33"/>
      <c r="AHP170" s="33"/>
      <c r="AHZ170" s="33"/>
      <c r="AIJ170" s="33"/>
      <c r="AIT170" s="33"/>
      <c r="AJD170" s="33"/>
      <c r="AJN170" s="33"/>
      <c r="AJX170" s="33"/>
      <c r="AKH170" s="33"/>
      <c r="AKR170" s="33"/>
      <c r="ALB170" s="33"/>
      <c r="ALL170" s="33"/>
      <c r="ALV170" s="33"/>
      <c r="AMF170" s="33"/>
      <c r="AMP170" s="33"/>
      <c r="AMZ170" s="33"/>
      <c r="ANJ170" s="33"/>
      <c r="ANT170" s="33"/>
      <c r="AOD170" s="33"/>
      <c r="AON170" s="33"/>
      <c r="AOX170" s="33"/>
      <c r="APH170" s="33"/>
      <c r="APR170" s="33"/>
      <c r="AQB170" s="33"/>
      <c r="AQL170" s="33"/>
      <c r="AQV170" s="33"/>
      <c r="ARF170" s="33"/>
      <c r="ARP170" s="33"/>
      <c r="ARZ170" s="33"/>
      <c r="ASJ170" s="33"/>
      <c r="AST170" s="33"/>
      <c r="ATD170" s="33"/>
      <c r="ATN170" s="33"/>
      <c r="ATX170" s="33"/>
      <c r="AUH170" s="33"/>
      <c r="AUR170" s="33"/>
      <c r="AVB170" s="33"/>
      <c r="AVL170" s="33"/>
      <c r="AVV170" s="33"/>
      <c r="AWF170" s="33"/>
      <c r="AWP170" s="33"/>
      <c r="AWZ170" s="33"/>
      <c r="AXJ170" s="33"/>
      <c r="AXT170" s="33"/>
      <c r="AYD170" s="33"/>
      <c r="AYN170" s="33"/>
      <c r="AYX170" s="33"/>
      <c r="AZH170" s="33"/>
      <c r="AZR170" s="33"/>
      <c r="BAB170" s="33"/>
      <c r="BAL170" s="33"/>
      <c r="BAV170" s="33"/>
      <c r="BBF170" s="33"/>
      <c r="BBP170" s="33"/>
      <c r="BBZ170" s="33"/>
      <c r="BCJ170" s="33"/>
      <c r="BCT170" s="33"/>
      <c r="BDD170" s="33"/>
      <c r="BDN170" s="33"/>
      <c r="BDX170" s="33"/>
      <c r="BEH170" s="33"/>
      <c r="BER170" s="33"/>
      <c r="BFB170" s="33"/>
      <c r="BFL170" s="33"/>
      <c r="BFV170" s="33"/>
      <c r="BGF170" s="33"/>
      <c r="BGP170" s="33"/>
      <c r="BGZ170" s="33"/>
      <c r="BHJ170" s="33"/>
      <c r="BHT170" s="33"/>
      <c r="BID170" s="33"/>
      <c r="BIN170" s="33"/>
      <c r="BIX170" s="33"/>
      <c r="BJH170" s="33"/>
      <c r="BJR170" s="33"/>
      <c r="BKB170" s="33"/>
      <c r="BKL170" s="33"/>
      <c r="BKV170" s="33"/>
      <c r="BLF170" s="33"/>
      <c r="BLP170" s="33"/>
      <c r="BLZ170" s="33"/>
      <c r="BMJ170" s="33"/>
      <c r="BMT170" s="33"/>
      <c r="BND170" s="33"/>
      <c r="BNN170" s="33"/>
      <c r="BNX170" s="33"/>
      <c r="BOH170" s="33"/>
      <c r="BOR170" s="33"/>
      <c r="BPB170" s="33"/>
      <c r="BPL170" s="33"/>
      <c r="BPV170" s="33"/>
      <c r="BQF170" s="33"/>
      <c r="BQP170" s="33"/>
      <c r="BQZ170" s="33"/>
      <c r="BRJ170" s="33"/>
      <c r="BRT170" s="33"/>
      <c r="BSD170" s="33"/>
      <c r="BSN170" s="33"/>
      <c r="BSX170" s="33"/>
      <c r="BTH170" s="33"/>
      <c r="BTR170" s="33"/>
      <c r="BUB170" s="33"/>
      <c r="BUL170" s="33"/>
      <c r="BUV170" s="33"/>
      <c r="BVF170" s="33"/>
      <c r="BVP170" s="33"/>
      <c r="BVZ170" s="33"/>
      <c r="BWJ170" s="33"/>
      <c r="BWT170" s="33"/>
      <c r="BXD170" s="33"/>
      <c r="BXN170" s="33"/>
      <c r="BXX170" s="33"/>
      <c r="BYH170" s="33"/>
      <c r="BYR170" s="33"/>
      <c r="BZB170" s="33"/>
      <c r="BZL170" s="33"/>
      <c r="BZV170" s="33"/>
      <c r="CAF170" s="33"/>
      <c r="CAP170" s="33"/>
      <c r="CAZ170" s="33"/>
      <c r="CBJ170" s="33"/>
      <c r="CBT170" s="33"/>
      <c r="CCD170" s="33"/>
      <c r="CCN170" s="33"/>
      <c r="CCX170" s="33"/>
      <c r="CDH170" s="33"/>
      <c r="CDR170" s="33"/>
      <c r="CEB170" s="33"/>
      <c r="CEL170" s="33"/>
      <c r="CEV170" s="33"/>
      <c r="CFF170" s="33"/>
      <c r="CFP170" s="33"/>
      <c r="CFZ170" s="33"/>
      <c r="CGJ170" s="33"/>
      <c r="CGT170" s="33"/>
      <c r="CHD170" s="33"/>
      <c r="CHN170" s="33"/>
      <c r="CHX170" s="33"/>
      <c r="CIH170" s="33"/>
      <c r="CIR170" s="33"/>
      <c r="CJB170" s="33"/>
      <c r="CJL170" s="33"/>
      <c r="CJV170" s="33"/>
      <c r="CKF170" s="33"/>
      <c r="CKP170" s="33"/>
      <c r="CKZ170" s="33"/>
      <c r="CLJ170" s="33"/>
      <c r="CLT170" s="33"/>
      <c r="CMD170" s="33"/>
      <c r="CMN170" s="33"/>
      <c r="CMX170" s="33"/>
      <c r="CNH170" s="33"/>
      <c r="CNR170" s="33"/>
      <c r="COB170" s="33"/>
      <c r="COL170" s="33"/>
      <c r="COV170" s="33"/>
      <c r="CPF170" s="33"/>
      <c r="CPP170" s="33"/>
      <c r="CPZ170" s="33"/>
      <c r="CQJ170" s="33"/>
      <c r="CQT170" s="33"/>
      <c r="CRD170" s="33"/>
      <c r="CRN170" s="33"/>
      <c r="CRX170" s="33"/>
      <c r="CSH170" s="33"/>
      <c r="CSR170" s="33"/>
      <c r="CTB170" s="33"/>
      <c r="CTL170" s="33"/>
      <c r="CTV170" s="33"/>
    </row>
    <row r="171" s="16" customFormat="1" customHeight="1" spans="1:1020 1030:2040 2050:2570">
      <c r="A171" s="57"/>
      <c r="B171" s="52"/>
      <c r="C171" s="52"/>
      <c r="D171" s="52"/>
      <c r="E171" s="52"/>
      <c r="F171" s="58" t="str">
        <f>IFERROR(VLOOKUP(E171,日报!E:G,2,0),"")</f>
        <v/>
      </c>
      <c r="G171" s="52"/>
      <c r="H171" s="53" t="str">
        <f>IFERROR(VLOOKUP(E171,基础数据!$E$4:$H$4,4,0),"")</f>
        <v/>
      </c>
      <c r="I171" s="53" t="str">
        <f>IFERROR(VLOOKUP(E171,基础数据!$E$4:$H$4,3,0),"")</f>
        <v/>
      </c>
      <c r="J171" s="52"/>
      <c r="K171" s="54" t="str">
        <f t="shared" si="2"/>
        <v/>
      </c>
      <c r="T171" s="33"/>
      <c r="AD171" s="33"/>
      <c r="AN171" s="33"/>
      <c r="AX171" s="33"/>
      <c r="BH171" s="33"/>
      <c r="BR171" s="33"/>
      <c r="CB171" s="33"/>
      <c r="CL171" s="33"/>
      <c r="CV171" s="33"/>
      <c r="DF171" s="33"/>
      <c r="DP171" s="33"/>
      <c r="DZ171" s="33"/>
      <c r="EJ171" s="33"/>
      <c r="ET171" s="33"/>
      <c r="FD171" s="33"/>
      <c r="FN171" s="33"/>
      <c r="FX171" s="33"/>
      <c r="GH171" s="33"/>
      <c r="GR171" s="33"/>
      <c r="HB171" s="33"/>
      <c r="HL171" s="33"/>
      <c r="HV171" s="33"/>
      <c r="IF171" s="33"/>
      <c r="IP171" s="33"/>
      <c r="IZ171" s="33"/>
      <c r="JJ171" s="33"/>
      <c r="JT171" s="33"/>
      <c r="KD171" s="33"/>
      <c r="KN171" s="33"/>
      <c r="KX171" s="33"/>
      <c r="LH171" s="33"/>
      <c r="LR171" s="33"/>
      <c r="MB171" s="33"/>
      <c r="ML171" s="33"/>
      <c r="MV171" s="33"/>
      <c r="NF171" s="33"/>
      <c r="NP171" s="33"/>
      <c r="NZ171" s="33"/>
      <c r="OJ171" s="33"/>
      <c r="OT171" s="33"/>
      <c r="PD171" s="33"/>
      <c r="PN171" s="33"/>
      <c r="PX171" s="33"/>
      <c r="QH171" s="33"/>
      <c r="QR171" s="33"/>
      <c r="RB171" s="33"/>
      <c r="RL171" s="33"/>
      <c r="RV171" s="33"/>
      <c r="SF171" s="33"/>
      <c r="SP171" s="33"/>
      <c r="SZ171" s="33"/>
      <c r="TJ171" s="33"/>
      <c r="TT171" s="33"/>
      <c r="UD171" s="33"/>
      <c r="UN171" s="33"/>
      <c r="UX171" s="33"/>
      <c r="VH171" s="33"/>
      <c r="VR171" s="33"/>
      <c r="WB171" s="33"/>
      <c r="WL171" s="33"/>
      <c r="WV171" s="33"/>
      <c r="XF171" s="33"/>
      <c r="XP171" s="33"/>
      <c r="XZ171" s="33"/>
      <c r="YJ171" s="33"/>
      <c r="YT171" s="33"/>
      <c r="ZD171" s="33"/>
      <c r="ZN171" s="33"/>
      <c r="ZX171" s="33"/>
      <c r="AAH171" s="33"/>
      <c r="AAR171" s="33"/>
      <c r="ABB171" s="33"/>
      <c r="ABL171" s="33"/>
      <c r="ABV171" s="33"/>
      <c r="ACF171" s="33"/>
      <c r="ACP171" s="33"/>
      <c r="ACZ171" s="33"/>
      <c r="ADJ171" s="33"/>
      <c r="ADT171" s="33"/>
      <c r="AED171" s="33"/>
      <c r="AEN171" s="33"/>
      <c r="AEX171" s="33"/>
      <c r="AFH171" s="33"/>
      <c r="AFR171" s="33"/>
      <c r="AGB171" s="33"/>
      <c r="AGL171" s="33"/>
      <c r="AGV171" s="33"/>
      <c r="AHF171" s="33"/>
      <c r="AHP171" s="33"/>
      <c r="AHZ171" s="33"/>
      <c r="AIJ171" s="33"/>
      <c r="AIT171" s="33"/>
      <c r="AJD171" s="33"/>
      <c r="AJN171" s="33"/>
      <c r="AJX171" s="33"/>
      <c r="AKH171" s="33"/>
      <c r="AKR171" s="33"/>
      <c r="ALB171" s="33"/>
      <c r="ALL171" s="33"/>
      <c r="ALV171" s="33"/>
      <c r="AMF171" s="33"/>
      <c r="AMP171" s="33"/>
      <c r="AMZ171" s="33"/>
      <c r="ANJ171" s="33"/>
      <c r="ANT171" s="33"/>
      <c r="AOD171" s="33"/>
      <c r="AON171" s="33"/>
      <c r="AOX171" s="33"/>
      <c r="APH171" s="33"/>
      <c r="APR171" s="33"/>
      <c r="AQB171" s="33"/>
      <c r="AQL171" s="33"/>
      <c r="AQV171" s="33"/>
      <c r="ARF171" s="33"/>
      <c r="ARP171" s="33"/>
      <c r="ARZ171" s="33"/>
      <c r="ASJ171" s="33"/>
      <c r="AST171" s="33"/>
      <c r="ATD171" s="33"/>
      <c r="ATN171" s="33"/>
      <c r="ATX171" s="33"/>
      <c r="AUH171" s="33"/>
      <c r="AUR171" s="33"/>
      <c r="AVB171" s="33"/>
      <c r="AVL171" s="33"/>
      <c r="AVV171" s="33"/>
      <c r="AWF171" s="33"/>
      <c r="AWP171" s="33"/>
      <c r="AWZ171" s="33"/>
      <c r="AXJ171" s="33"/>
      <c r="AXT171" s="33"/>
      <c r="AYD171" s="33"/>
      <c r="AYN171" s="33"/>
      <c r="AYX171" s="33"/>
      <c r="AZH171" s="33"/>
      <c r="AZR171" s="33"/>
      <c r="BAB171" s="33"/>
      <c r="BAL171" s="33"/>
      <c r="BAV171" s="33"/>
      <c r="BBF171" s="33"/>
      <c r="BBP171" s="33"/>
      <c r="BBZ171" s="33"/>
      <c r="BCJ171" s="33"/>
      <c r="BCT171" s="33"/>
      <c r="BDD171" s="33"/>
      <c r="BDN171" s="33"/>
      <c r="BDX171" s="33"/>
      <c r="BEH171" s="33"/>
      <c r="BER171" s="33"/>
      <c r="BFB171" s="33"/>
      <c r="BFL171" s="33"/>
      <c r="BFV171" s="33"/>
      <c r="BGF171" s="33"/>
      <c r="BGP171" s="33"/>
      <c r="BGZ171" s="33"/>
      <c r="BHJ171" s="33"/>
      <c r="BHT171" s="33"/>
      <c r="BID171" s="33"/>
      <c r="BIN171" s="33"/>
      <c r="BIX171" s="33"/>
      <c r="BJH171" s="33"/>
      <c r="BJR171" s="33"/>
      <c r="BKB171" s="33"/>
      <c r="BKL171" s="33"/>
      <c r="BKV171" s="33"/>
      <c r="BLF171" s="33"/>
      <c r="BLP171" s="33"/>
      <c r="BLZ171" s="33"/>
      <c r="BMJ171" s="33"/>
      <c r="BMT171" s="33"/>
      <c r="BND171" s="33"/>
      <c r="BNN171" s="33"/>
      <c r="BNX171" s="33"/>
      <c r="BOH171" s="33"/>
      <c r="BOR171" s="33"/>
      <c r="BPB171" s="33"/>
      <c r="BPL171" s="33"/>
      <c r="BPV171" s="33"/>
      <c r="BQF171" s="33"/>
      <c r="BQP171" s="33"/>
      <c r="BQZ171" s="33"/>
      <c r="BRJ171" s="33"/>
      <c r="BRT171" s="33"/>
      <c r="BSD171" s="33"/>
      <c r="BSN171" s="33"/>
      <c r="BSX171" s="33"/>
      <c r="BTH171" s="33"/>
      <c r="BTR171" s="33"/>
      <c r="BUB171" s="33"/>
      <c r="BUL171" s="33"/>
      <c r="BUV171" s="33"/>
      <c r="BVF171" s="33"/>
      <c r="BVP171" s="33"/>
      <c r="BVZ171" s="33"/>
      <c r="BWJ171" s="33"/>
      <c r="BWT171" s="33"/>
      <c r="BXD171" s="33"/>
      <c r="BXN171" s="33"/>
      <c r="BXX171" s="33"/>
      <c r="BYH171" s="33"/>
      <c r="BYR171" s="33"/>
      <c r="BZB171" s="33"/>
      <c r="BZL171" s="33"/>
      <c r="BZV171" s="33"/>
      <c r="CAF171" s="33"/>
      <c r="CAP171" s="33"/>
      <c r="CAZ171" s="33"/>
      <c r="CBJ171" s="33"/>
      <c r="CBT171" s="33"/>
      <c r="CCD171" s="33"/>
      <c r="CCN171" s="33"/>
      <c r="CCX171" s="33"/>
      <c r="CDH171" s="33"/>
      <c r="CDR171" s="33"/>
      <c r="CEB171" s="33"/>
      <c r="CEL171" s="33"/>
      <c r="CEV171" s="33"/>
      <c r="CFF171" s="33"/>
      <c r="CFP171" s="33"/>
      <c r="CFZ171" s="33"/>
      <c r="CGJ171" s="33"/>
      <c r="CGT171" s="33"/>
      <c r="CHD171" s="33"/>
      <c r="CHN171" s="33"/>
      <c r="CHX171" s="33"/>
      <c r="CIH171" s="33"/>
      <c r="CIR171" s="33"/>
      <c r="CJB171" s="33"/>
      <c r="CJL171" s="33"/>
      <c r="CJV171" s="33"/>
      <c r="CKF171" s="33"/>
      <c r="CKP171" s="33"/>
      <c r="CKZ171" s="33"/>
      <c r="CLJ171" s="33"/>
      <c r="CLT171" s="33"/>
      <c r="CMD171" s="33"/>
      <c r="CMN171" s="33"/>
      <c r="CMX171" s="33"/>
      <c r="CNH171" s="33"/>
      <c r="CNR171" s="33"/>
      <c r="COB171" s="33"/>
      <c r="COL171" s="33"/>
      <c r="COV171" s="33"/>
      <c r="CPF171" s="33"/>
      <c r="CPP171" s="33"/>
      <c r="CPZ171" s="33"/>
      <c r="CQJ171" s="33"/>
      <c r="CQT171" s="33"/>
      <c r="CRD171" s="33"/>
      <c r="CRN171" s="33"/>
      <c r="CRX171" s="33"/>
      <c r="CSH171" s="33"/>
      <c r="CSR171" s="33"/>
      <c r="CTB171" s="33"/>
      <c r="CTL171" s="33"/>
      <c r="CTV171" s="33"/>
    </row>
    <row r="172" s="16" customFormat="1" customHeight="1" spans="1:1020 1030:2040 2050:2570">
      <c r="A172" s="57"/>
      <c r="B172" s="52"/>
      <c r="C172" s="52"/>
      <c r="D172" s="52"/>
      <c r="E172" s="52"/>
      <c r="F172" s="58" t="str">
        <f>IFERROR(VLOOKUP(E172,日报!E:G,2,0),"")</f>
        <v/>
      </c>
      <c r="G172" s="52"/>
      <c r="H172" s="53" t="str">
        <f>IFERROR(VLOOKUP(E172,基础数据!$E$4:$H$4,4,0),"")</f>
        <v/>
      </c>
      <c r="I172" s="53" t="str">
        <f>IFERROR(VLOOKUP(E172,基础数据!$E$4:$H$4,3,0),"")</f>
        <v/>
      </c>
      <c r="J172" s="52"/>
      <c r="K172" s="54" t="str">
        <f t="shared" si="2"/>
        <v/>
      </c>
      <c r="T172" s="33"/>
      <c r="AD172" s="33"/>
      <c r="AN172" s="33"/>
      <c r="AX172" s="33"/>
      <c r="BH172" s="33"/>
      <c r="BR172" s="33"/>
      <c r="CB172" s="33"/>
      <c r="CL172" s="33"/>
      <c r="CV172" s="33"/>
      <c r="DF172" s="33"/>
      <c r="DP172" s="33"/>
      <c r="DZ172" s="33"/>
      <c r="EJ172" s="33"/>
      <c r="ET172" s="33"/>
      <c r="FD172" s="33"/>
      <c r="FN172" s="33"/>
      <c r="FX172" s="33"/>
      <c r="GH172" s="33"/>
      <c r="GR172" s="33"/>
      <c r="HB172" s="33"/>
      <c r="HL172" s="33"/>
      <c r="HV172" s="33"/>
      <c r="IF172" s="33"/>
      <c r="IP172" s="33"/>
      <c r="IZ172" s="33"/>
      <c r="JJ172" s="33"/>
      <c r="JT172" s="33"/>
      <c r="KD172" s="33"/>
      <c r="KN172" s="33"/>
      <c r="KX172" s="33"/>
      <c r="LH172" s="33"/>
      <c r="LR172" s="33"/>
      <c r="MB172" s="33"/>
      <c r="ML172" s="33"/>
      <c r="MV172" s="33"/>
      <c r="NF172" s="33"/>
      <c r="NP172" s="33"/>
      <c r="NZ172" s="33"/>
      <c r="OJ172" s="33"/>
      <c r="OT172" s="33"/>
      <c r="PD172" s="33"/>
      <c r="PN172" s="33"/>
      <c r="PX172" s="33"/>
      <c r="QH172" s="33"/>
      <c r="QR172" s="33"/>
      <c r="RB172" s="33"/>
      <c r="RL172" s="33"/>
      <c r="RV172" s="33"/>
      <c r="SF172" s="33"/>
      <c r="SP172" s="33"/>
      <c r="SZ172" s="33"/>
      <c r="TJ172" s="33"/>
      <c r="TT172" s="33"/>
      <c r="UD172" s="33"/>
      <c r="UN172" s="33"/>
      <c r="UX172" s="33"/>
      <c r="VH172" s="33"/>
      <c r="VR172" s="33"/>
      <c r="WB172" s="33"/>
      <c r="WL172" s="33"/>
      <c r="WV172" s="33"/>
      <c r="XF172" s="33"/>
      <c r="XP172" s="33"/>
      <c r="XZ172" s="33"/>
      <c r="YJ172" s="33"/>
      <c r="YT172" s="33"/>
      <c r="ZD172" s="33"/>
      <c r="ZN172" s="33"/>
      <c r="ZX172" s="33"/>
      <c r="AAH172" s="33"/>
      <c r="AAR172" s="33"/>
      <c r="ABB172" s="33"/>
      <c r="ABL172" s="33"/>
      <c r="ABV172" s="33"/>
      <c r="ACF172" s="33"/>
      <c r="ACP172" s="33"/>
      <c r="ACZ172" s="33"/>
      <c r="ADJ172" s="33"/>
      <c r="ADT172" s="33"/>
      <c r="AED172" s="33"/>
      <c r="AEN172" s="33"/>
      <c r="AEX172" s="33"/>
      <c r="AFH172" s="33"/>
      <c r="AFR172" s="33"/>
      <c r="AGB172" s="33"/>
      <c r="AGL172" s="33"/>
      <c r="AGV172" s="33"/>
      <c r="AHF172" s="33"/>
      <c r="AHP172" s="33"/>
      <c r="AHZ172" s="33"/>
      <c r="AIJ172" s="33"/>
      <c r="AIT172" s="33"/>
      <c r="AJD172" s="33"/>
      <c r="AJN172" s="33"/>
      <c r="AJX172" s="33"/>
      <c r="AKH172" s="33"/>
      <c r="AKR172" s="33"/>
      <c r="ALB172" s="33"/>
      <c r="ALL172" s="33"/>
      <c r="ALV172" s="33"/>
      <c r="AMF172" s="33"/>
      <c r="AMP172" s="33"/>
      <c r="AMZ172" s="33"/>
      <c r="ANJ172" s="33"/>
      <c r="ANT172" s="33"/>
      <c r="AOD172" s="33"/>
      <c r="AON172" s="33"/>
      <c r="AOX172" s="33"/>
      <c r="APH172" s="33"/>
      <c r="APR172" s="33"/>
      <c r="AQB172" s="33"/>
      <c r="AQL172" s="33"/>
      <c r="AQV172" s="33"/>
      <c r="ARF172" s="33"/>
      <c r="ARP172" s="33"/>
      <c r="ARZ172" s="33"/>
      <c r="ASJ172" s="33"/>
      <c r="AST172" s="33"/>
      <c r="ATD172" s="33"/>
      <c r="ATN172" s="33"/>
      <c r="ATX172" s="33"/>
      <c r="AUH172" s="33"/>
      <c r="AUR172" s="33"/>
      <c r="AVB172" s="33"/>
      <c r="AVL172" s="33"/>
      <c r="AVV172" s="33"/>
      <c r="AWF172" s="33"/>
      <c r="AWP172" s="33"/>
      <c r="AWZ172" s="33"/>
      <c r="AXJ172" s="33"/>
      <c r="AXT172" s="33"/>
      <c r="AYD172" s="33"/>
      <c r="AYN172" s="33"/>
      <c r="AYX172" s="33"/>
      <c r="AZH172" s="33"/>
      <c r="AZR172" s="33"/>
      <c r="BAB172" s="33"/>
      <c r="BAL172" s="33"/>
      <c r="BAV172" s="33"/>
      <c r="BBF172" s="33"/>
      <c r="BBP172" s="33"/>
      <c r="BBZ172" s="33"/>
      <c r="BCJ172" s="33"/>
      <c r="BCT172" s="33"/>
      <c r="BDD172" s="33"/>
      <c r="BDN172" s="33"/>
      <c r="BDX172" s="33"/>
      <c r="BEH172" s="33"/>
      <c r="BER172" s="33"/>
      <c r="BFB172" s="33"/>
      <c r="BFL172" s="33"/>
      <c r="BFV172" s="33"/>
      <c r="BGF172" s="33"/>
      <c r="BGP172" s="33"/>
      <c r="BGZ172" s="33"/>
      <c r="BHJ172" s="33"/>
      <c r="BHT172" s="33"/>
      <c r="BID172" s="33"/>
      <c r="BIN172" s="33"/>
      <c r="BIX172" s="33"/>
      <c r="BJH172" s="33"/>
      <c r="BJR172" s="33"/>
      <c r="BKB172" s="33"/>
      <c r="BKL172" s="33"/>
      <c r="BKV172" s="33"/>
      <c r="BLF172" s="33"/>
      <c r="BLP172" s="33"/>
      <c r="BLZ172" s="33"/>
      <c r="BMJ172" s="33"/>
      <c r="BMT172" s="33"/>
      <c r="BND172" s="33"/>
      <c r="BNN172" s="33"/>
      <c r="BNX172" s="33"/>
      <c r="BOH172" s="33"/>
      <c r="BOR172" s="33"/>
      <c r="BPB172" s="33"/>
      <c r="BPL172" s="33"/>
      <c r="BPV172" s="33"/>
      <c r="BQF172" s="33"/>
      <c r="BQP172" s="33"/>
      <c r="BQZ172" s="33"/>
      <c r="BRJ172" s="33"/>
      <c r="BRT172" s="33"/>
      <c r="BSD172" s="33"/>
      <c r="BSN172" s="33"/>
      <c r="BSX172" s="33"/>
      <c r="BTH172" s="33"/>
      <c r="BTR172" s="33"/>
      <c r="BUB172" s="33"/>
      <c r="BUL172" s="33"/>
      <c r="BUV172" s="33"/>
      <c r="BVF172" s="33"/>
      <c r="BVP172" s="33"/>
      <c r="BVZ172" s="33"/>
      <c r="BWJ172" s="33"/>
      <c r="BWT172" s="33"/>
      <c r="BXD172" s="33"/>
      <c r="BXN172" s="33"/>
      <c r="BXX172" s="33"/>
      <c r="BYH172" s="33"/>
      <c r="BYR172" s="33"/>
      <c r="BZB172" s="33"/>
      <c r="BZL172" s="33"/>
      <c r="BZV172" s="33"/>
      <c r="CAF172" s="33"/>
      <c r="CAP172" s="33"/>
      <c r="CAZ172" s="33"/>
      <c r="CBJ172" s="33"/>
      <c r="CBT172" s="33"/>
      <c r="CCD172" s="33"/>
      <c r="CCN172" s="33"/>
      <c r="CCX172" s="33"/>
      <c r="CDH172" s="33"/>
      <c r="CDR172" s="33"/>
      <c r="CEB172" s="33"/>
      <c r="CEL172" s="33"/>
      <c r="CEV172" s="33"/>
      <c r="CFF172" s="33"/>
      <c r="CFP172" s="33"/>
      <c r="CFZ172" s="33"/>
      <c r="CGJ172" s="33"/>
      <c r="CGT172" s="33"/>
      <c r="CHD172" s="33"/>
      <c r="CHN172" s="33"/>
      <c r="CHX172" s="33"/>
      <c r="CIH172" s="33"/>
      <c r="CIR172" s="33"/>
      <c r="CJB172" s="33"/>
      <c r="CJL172" s="33"/>
      <c r="CJV172" s="33"/>
      <c r="CKF172" s="33"/>
      <c r="CKP172" s="33"/>
      <c r="CKZ172" s="33"/>
      <c r="CLJ172" s="33"/>
      <c r="CLT172" s="33"/>
      <c r="CMD172" s="33"/>
      <c r="CMN172" s="33"/>
      <c r="CMX172" s="33"/>
      <c r="CNH172" s="33"/>
      <c r="CNR172" s="33"/>
      <c r="COB172" s="33"/>
      <c r="COL172" s="33"/>
      <c r="COV172" s="33"/>
      <c r="CPF172" s="33"/>
      <c r="CPP172" s="33"/>
      <c r="CPZ172" s="33"/>
      <c r="CQJ172" s="33"/>
      <c r="CQT172" s="33"/>
      <c r="CRD172" s="33"/>
      <c r="CRN172" s="33"/>
      <c r="CRX172" s="33"/>
      <c r="CSH172" s="33"/>
      <c r="CSR172" s="33"/>
      <c r="CTB172" s="33"/>
      <c r="CTL172" s="33"/>
      <c r="CTV172" s="33"/>
    </row>
    <row r="173" s="16" customFormat="1" customHeight="1" spans="1:1020 1030:2040 2050:2570">
      <c r="A173" s="57"/>
      <c r="B173" s="52"/>
      <c r="C173" s="52"/>
      <c r="D173" s="52"/>
      <c r="E173" s="52"/>
      <c r="F173" s="58" t="str">
        <f>IFERROR(VLOOKUP(E173,日报!E:G,2,0),"")</f>
        <v/>
      </c>
      <c r="G173" s="52"/>
      <c r="H173" s="53" t="str">
        <f>IFERROR(VLOOKUP(E173,基础数据!$E$4:$H$4,4,0),"")</f>
        <v/>
      </c>
      <c r="I173" s="53" t="str">
        <f>IFERROR(VLOOKUP(E173,基础数据!$E$4:$H$4,3,0),"")</f>
        <v/>
      </c>
      <c r="J173" s="52"/>
      <c r="K173" s="54" t="str">
        <f t="shared" si="2"/>
        <v/>
      </c>
      <c r="T173" s="33"/>
      <c r="AD173" s="33"/>
      <c r="AN173" s="33"/>
      <c r="AX173" s="33"/>
      <c r="BH173" s="33"/>
      <c r="BR173" s="33"/>
      <c r="CB173" s="33"/>
      <c r="CL173" s="33"/>
      <c r="CV173" s="33"/>
      <c r="DF173" s="33"/>
      <c r="DP173" s="33"/>
      <c r="DZ173" s="33"/>
      <c r="EJ173" s="33"/>
      <c r="ET173" s="33"/>
      <c r="FD173" s="33"/>
      <c r="FN173" s="33"/>
      <c r="FX173" s="33"/>
      <c r="GH173" s="33"/>
      <c r="GR173" s="33"/>
      <c r="HB173" s="33"/>
      <c r="HL173" s="33"/>
      <c r="HV173" s="33"/>
      <c r="IF173" s="33"/>
      <c r="IP173" s="33"/>
      <c r="IZ173" s="33"/>
      <c r="JJ173" s="33"/>
      <c r="JT173" s="33"/>
      <c r="KD173" s="33"/>
      <c r="KN173" s="33"/>
      <c r="KX173" s="33"/>
      <c r="LH173" s="33"/>
      <c r="LR173" s="33"/>
      <c r="MB173" s="33"/>
      <c r="ML173" s="33"/>
      <c r="MV173" s="33"/>
      <c r="NF173" s="33"/>
      <c r="NP173" s="33"/>
      <c r="NZ173" s="33"/>
      <c r="OJ173" s="33"/>
      <c r="OT173" s="33"/>
      <c r="PD173" s="33"/>
      <c r="PN173" s="33"/>
      <c r="PX173" s="33"/>
      <c r="QH173" s="33"/>
      <c r="QR173" s="33"/>
      <c r="RB173" s="33"/>
      <c r="RL173" s="33"/>
      <c r="RV173" s="33"/>
      <c r="SF173" s="33"/>
      <c r="SP173" s="33"/>
      <c r="SZ173" s="33"/>
      <c r="TJ173" s="33"/>
      <c r="TT173" s="33"/>
      <c r="UD173" s="33"/>
      <c r="UN173" s="33"/>
      <c r="UX173" s="33"/>
      <c r="VH173" s="33"/>
      <c r="VR173" s="33"/>
      <c r="WB173" s="33"/>
      <c r="WL173" s="33"/>
      <c r="WV173" s="33"/>
      <c r="XF173" s="33"/>
      <c r="XP173" s="33"/>
      <c r="XZ173" s="33"/>
      <c r="YJ173" s="33"/>
      <c r="YT173" s="33"/>
      <c r="ZD173" s="33"/>
      <c r="ZN173" s="33"/>
      <c r="ZX173" s="33"/>
      <c r="AAH173" s="33"/>
      <c r="AAR173" s="33"/>
      <c r="ABB173" s="33"/>
      <c r="ABL173" s="33"/>
      <c r="ABV173" s="33"/>
      <c r="ACF173" s="33"/>
      <c r="ACP173" s="33"/>
      <c r="ACZ173" s="33"/>
      <c r="ADJ173" s="33"/>
      <c r="ADT173" s="33"/>
      <c r="AED173" s="33"/>
      <c r="AEN173" s="33"/>
      <c r="AEX173" s="33"/>
      <c r="AFH173" s="33"/>
      <c r="AFR173" s="33"/>
      <c r="AGB173" s="33"/>
      <c r="AGL173" s="33"/>
      <c r="AGV173" s="33"/>
      <c r="AHF173" s="33"/>
      <c r="AHP173" s="33"/>
      <c r="AHZ173" s="33"/>
      <c r="AIJ173" s="33"/>
      <c r="AIT173" s="33"/>
      <c r="AJD173" s="33"/>
      <c r="AJN173" s="33"/>
      <c r="AJX173" s="33"/>
      <c r="AKH173" s="33"/>
      <c r="AKR173" s="33"/>
      <c r="ALB173" s="33"/>
      <c r="ALL173" s="33"/>
      <c r="ALV173" s="33"/>
      <c r="AMF173" s="33"/>
      <c r="AMP173" s="33"/>
      <c r="AMZ173" s="33"/>
      <c r="ANJ173" s="33"/>
      <c r="ANT173" s="33"/>
      <c r="AOD173" s="33"/>
      <c r="AON173" s="33"/>
      <c r="AOX173" s="33"/>
      <c r="APH173" s="33"/>
      <c r="APR173" s="33"/>
      <c r="AQB173" s="33"/>
      <c r="AQL173" s="33"/>
      <c r="AQV173" s="33"/>
      <c r="ARF173" s="33"/>
      <c r="ARP173" s="33"/>
      <c r="ARZ173" s="33"/>
      <c r="ASJ173" s="33"/>
      <c r="AST173" s="33"/>
      <c r="ATD173" s="33"/>
      <c r="ATN173" s="33"/>
      <c r="ATX173" s="33"/>
      <c r="AUH173" s="33"/>
      <c r="AUR173" s="33"/>
      <c r="AVB173" s="33"/>
      <c r="AVL173" s="33"/>
      <c r="AVV173" s="33"/>
      <c r="AWF173" s="33"/>
      <c r="AWP173" s="33"/>
      <c r="AWZ173" s="33"/>
      <c r="AXJ173" s="33"/>
      <c r="AXT173" s="33"/>
      <c r="AYD173" s="33"/>
      <c r="AYN173" s="33"/>
      <c r="AYX173" s="33"/>
      <c r="AZH173" s="33"/>
      <c r="AZR173" s="33"/>
      <c r="BAB173" s="33"/>
      <c r="BAL173" s="33"/>
      <c r="BAV173" s="33"/>
      <c r="BBF173" s="33"/>
      <c r="BBP173" s="33"/>
      <c r="BBZ173" s="33"/>
      <c r="BCJ173" s="33"/>
      <c r="BCT173" s="33"/>
      <c r="BDD173" s="33"/>
      <c r="BDN173" s="33"/>
      <c r="BDX173" s="33"/>
      <c r="BEH173" s="33"/>
      <c r="BER173" s="33"/>
      <c r="BFB173" s="33"/>
      <c r="BFL173" s="33"/>
      <c r="BFV173" s="33"/>
      <c r="BGF173" s="33"/>
      <c r="BGP173" s="33"/>
      <c r="BGZ173" s="33"/>
      <c r="BHJ173" s="33"/>
      <c r="BHT173" s="33"/>
      <c r="BID173" s="33"/>
      <c r="BIN173" s="33"/>
      <c r="BIX173" s="33"/>
      <c r="BJH173" s="33"/>
      <c r="BJR173" s="33"/>
      <c r="BKB173" s="33"/>
      <c r="BKL173" s="33"/>
      <c r="BKV173" s="33"/>
      <c r="BLF173" s="33"/>
      <c r="BLP173" s="33"/>
      <c r="BLZ173" s="33"/>
      <c r="BMJ173" s="33"/>
      <c r="BMT173" s="33"/>
      <c r="BND173" s="33"/>
      <c r="BNN173" s="33"/>
      <c r="BNX173" s="33"/>
      <c r="BOH173" s="33"/>
      <c r="BOR173" s="33"/>
      <c r="BPB173" s="33"/>
      <c r="BPL173" s="33"/>
      <c r="BPV173" s="33"/>
      <c r="BQF173" s="33"/>
      <c r="BQP173" s="33"/>
      <c r="BQZ173" s="33"/>
      <c r="BRJ173" s="33"/>
      <c r="BRT173" s="33"/>
      <c r="BSD173" s="33"/>
      <c r="BSN173" s="33"/>
      <c r="BSX173" s="33"/>
      <c r="BTH173" s="33"/>
      <c r="BTR173" s="33"/>
      <c r="BUB173" s="33"/>
      <c r="BUL173" s="33"/>
      <c r="BUV173" s="33"/>
      <c r="BVF173" s="33"/>
      <c r="BVP173" s="33"/>
      <c r="BVZ173" s="33"/>
      <c r="BWJ173" s="33"/>
      <c r="BWT173" s="33"/>
      <c r="BXD173" s="33"/>
      <c r="BXN173" s="33"/>
      <c r="BXX173" s="33"/>
      <c r="BYH173" s="33"/>
      <c r="BYR173" s="33"/>
      <c r="BZB173" s="33"/>
      <c r="BZL173" s="33"/>
      <c r="BZV173" s="33"/>
      <c r="CAF173" s="33"/>
      <c r="CAP173" s="33"/>
      <c r="CAZ173" s="33"/>
      <c r="CBJ173" s="33"/>
      <c r="CBT173" s="33"/>
      <c r="CCD173" s="33"/>
      <c r="CCN173" s="33"/>
      <c r="CCX173" s="33"/>
      <c r="CDH173" s="33"/>
      <c r="CDR173" s="33"/>
      <c r="CEB173" s="33"/>
      <c r="CEL173" s="33"/>
      <c r="CEV173" s="33"/>
      <c r="CFF173" s="33"/>
      <c r="CFP173" s="33"/>
      <c r="CFZ173" s="33"/>
      <c r="CGJ173" s="33"/>
      <c r="CGT173" s="33"/>
      <c r="CHD173" s="33"/>
      <c r="CHN173" s="33"/>
      <c r="CHX173" s="33"/>
      <c r="CIH173" s="33"/>
      <c r="CIR173" s="33"/>
      <c r="CJB173" s="33"/>
      <c r="CJL173" s="33"/>
      <c r="CJV173" s="33"/>
      <c r="CKF173" s="33"/>
      <c r="CKP173" s="33"/>
      <c r="CKZ173" s="33"/>
      <c r="CLJ173" s="33"/>
      <c r="CLT173" s="33"/>
      <c r="CMD173" s="33"/>
      <c r="CMN173" s="33"/>
      <c r="CMX173" s="33"/>
      <c r="CNH173" s="33"/>
      <c r="CNR173" s="33"/>
      <c r="COB173" s="33"/>
      <c r="COL173" s="33"/>
      <c r="COV173" s="33"/>
      <c r="CPF173" s="33"/>
      <c r="CPP173" s="33"/>
      <c r="CPZ173" s="33"/>
      <c r="CQJ173" s="33"/>
      <c r="CQT173" s="33"/>
      <c r="CRD173" s="33"/>
      <c r="CRN173" s="33"/>
      <c r="CRX173" s="33"/>
      <c r="CSH173" s="33"/>
      <c r="CSR173" s="33"/>
      <c r="CTB173" s="33"/>
      <c r="CTL173" s="33"/>
      <c r="CTV173" s="33"/>
    </row>
    <row r="174" s="16" customFormat="1" customHeight="1" spans="1:1020 1030:2040 2050:2570">
      <c r="A174" s="57"/>
      <c r="B174" s="52"/>
      <c r="C174" s="52"/>
      <c r="D174" s="52"/>
      <c r="E174" s="52"/>
      <c r="F174" s="58" t="str">
        <f>IFERROR(VLOOKUP(E174,日报!E:G,2,0),"")</f>
        <v/>
      </c>
      <c r="G174" s="52"/>
      <c r="H174" s="53" t="str">
        <f>IFERROR(VLOOKUP(E174,基础数据!$E$4:$H$4,4,0),"")</f>
        <v/>
      </c>
      <c r="I174" s="53" t="str">
        <f>IFERROR(VLOOKUP(E174,基础数据!$E$4:$H$4,3,0),"")</f>
        <v/>
      </c>
      <c r="J174" s="52"/>
      <c r="K174" s="54" t="str">
        <f t="shared" si="2"/>
        <v/>
      </c>
      <c r="T174" s="33"/>
      <c r="AD174" s="33"/>
      <c r="AN174" s="33"/>
      <c r="AX174" s="33"/>
      <c r="BH174" s="33"/>
      <c r="BR174" s="33"/>
      <c r="CB174" s="33"/>
      <c r="CL174" s="33"/>
      <c r="CV174" s="33"/>
      <c r="DF174" s="33"/>
      <c r="DP174" s="33"/>
      <c r="DZ174" s="33"/>
      <c r="EJ174" s="33"/>
      <c r="ET174" s="33"/>
      <c r="FD174" s="33"/>
      <c r="FN174" s="33"/>
      <c r="FX174" s="33"/>
      <c r="GH174" s="33"/>
      <c r="GR174" s="33"/>
      <c r="HB174" s="33"/>
      <c r="HL174" s="33"/>
      <c r="HV174" s="33"/>
      <c r="IF174" s="33"/>
      <c r="IP174" s="33"/>
      <c r="IZ174" s="33"/>
      <c r="JJ174" s="33"/>
      <c r="JT174" s="33"/>
      <c r="KD174" s="33"/>
      <c r="KN174" s="33"/>
      <c r="KX174" s="33"/>
      <c r="LH174" s="33"/>
      <c r="LR174" s="33"/>
      <c r="MB174" s="33"/>
      <c r="ML174" s="33"/>
      <c r="MV174" s="33"/>
      <c r="NF174" s="33"/>
      <c r="NP174" s="33"/>
      <c r="NZ174" s="33"/>
      <c r="OJ174" s="33"/>
      <c r="OT174" s="33"/>
      <c r="PD174" s="33"/>
      <c r="PN174" s="33"/>
      <c r="PX174" s="33"/>
      <c r="QH174" s="33"/>
      <c r="QR174" s="33"/>
      <c r="RB174" s="33"/>
      <c r="RL174" s="33"/>
      <c r="RV174" s="33"/>
      <c r="SF174" s="33"/>
      <c r="SP174" s="33"/>
      <c r="SZ174" s="33"/>
      <c r="TJ174" s="33"/>
      <c r="TT174" s="33"/>
      <c r="UD174" s="33"/>
      <c r="UN174" s="33"/>
      <c r="UX174" s="33"/>
      <c r="VH174" s="33"/>
      <c r="VR174" s="33"/>
      <c r="WB174" s="33"/>
      <c r="WL174" s="33"/>
      <c r="WV174" s="33"/>
      <c r="XF174" s="33"/>
      <c r="XP174" s="33"/>
      <c r="XZ174" s="33"/>
      <c r="YJ174" s="33"/>
      <c r="YT174" s="33"/>
      <c r="ZD174" s="33"/>
      <c r="ZN174" s="33"/>
      <c r="ZX174" s="33"/>
      <c r="AAH174" s="33"/>
      <c r="AAR174" s="33"/>
      <c r="ABB174" s="33"/>
      <c r="ABL174" s="33"/>
      <c r="ABV174" s="33"/>
      <c r="ACF174" s="33"/>
      <c r="ACP174" s="33"/>
      <c r="ACZ174" s="33"/>
      <c r="ADJ174" s="33"/>
      <c r="ADT174" s="33"/>
      <c r="AED174" s="33"/>
      <c r="AEN174" s="33"/>
      <c r="AEX174" s="33"/>
      <c r="AFH174" s="33"/>
      <c r="AFR174" s="33"/>
      <c r="AGB174" s="33"/>
      <c r="AGL174" s="33"/>
      <c r="AGV174" s="33"/>
      <c r="AHF174" s="33"/>
      <c r="AHP174" s="33"/>
      <c r="AHZ174" s="33"/>
      <c r="AIJ174" s="33"/>
      <c r="AIT174" s="33"/>
      <c r="AJD174" s="33"/>
      <c r="AJN174" s="33"/>
      <c r="AJX174" s="33"/>
      <c r="AKH174" s="33"/>
      <c r="AKR174" s="33"/>
      <c r="ALB174" s="33"/>
      <c r="ALL174" s="33"/>
      <c r="ALV174" s="33"/>
      <c r="AMF174" s="33"/>
      <c r="AMP174" s="33"/>
      <c r="AMZ174" s="33"/>
      <c r="ANJ174" s="33"/>
      <c r="ANT174" s="33"/>
      <c r="AOD174" s="33"/>
      <c r="AON174" s="33"/>
      <c r="AOX174" s="33"/>
      <c r="APH174" s="33"/>
      <c r="APR174" s="33"/>
      <c r="AQB174" s="33"/>
      <c r="AQL174" s="33"/>
      <c r="AQV174" s="33"/>
      <c r="ARF174" s="33"/>
      <c r="ARP174" s="33"/>
      <c r="ARZ174" s="33"/>
      <c r="ASJ174" s="33"/>
      <c r="AST174" s="33"/>
      <c r="ATD174" s="33"/>
      <c r="ATN174" s="33"/>
      <c r="ATX174" s="33"/>
      <c r="AUH174" s="33"/>
      <c r="AUR174" s="33"/>
      <c r="AVB174" s="33"/>
      <c r="AVL174" s="33"/>
      <c r="AVV174" s="33"/>
      <c r="AWF174" s="33"/>
      <c r="AWP174" s="33"/>
      <c r="AWZ174" s="33"/>
      <c r="AXJ174" s="33"/>
      <c r="AXT174" s="33"/>
      <c r="AYD174" s="33"/>
      <c r="AYN174" s="33"/>
      <c r="AYX174" s="33"/>
      <c r="AZH174" s="33"/>
      <c r="AZR174" s="33"/>
      <c r="BAB174" s="33"/>
      <c r="BAL174" s="33"/>
      <c r="BAV174" s="33"/>
      <c r="BBF174" s="33"/>
      <c r="BBP174" s="33"/>
      <c r="BBZ174" s="33"/>
      <c r="BCJ174" s="33"/>
      <c r="BCT174" s="33"/>
      <c r="BDD174" s="33"/>
      <c r="BDN174" s="33"/>
      <c r="BDX174" s="33"/>
      <c r="BEH174" s="33"/>
      <c r="BER174" s="33"/>
      <c r="BFB174" s="33"/>
      <c r="BFL174" s="33"/>
      <c r="BFV174" s="33"/>
      <c r="BGF174" s="33"/>
      <c r="BGP174" s="33"/>
      <c r="BGZ174" s="33"/>
      <c r="BHJ174" s="33"/>
      <c r="BHT174" s="33"/>
      <c r="BID174" s="33"/>
      <c r="BIN174" s="33"/>
      <c r="BIX174" s="33"/>
      <c r="BJH174" s="33"/>
      <c r="BJR174" s="33"/>
      <c r="BKB174" s="33"/>
      <c r="BKL174" s="33"/>
      <c r="BKV174" s="33"/>
      <c r="BLF174" s="33"/>
      <c r="BLP174" s="33"/>
      <c r="BLZ174" s="33"/>
      <c r="BMJ174" s="33"/>
      <c r="BMT174" s="33"/>
      <c r="BND174" s="33"/>
      <c r="BNN174" s="33"/>
      <c r="BNX174" s="33"/>
      <c r="BOH174" s="33"/>
      <c r="BOR174" s="33"/>
      <c r="BPB174" s="33"/>
      <c r="BPL174" s="33"/>
      <c r="BPV174" s="33"/>
      <c r="BQF174" s="33"/>
      <c r="BQP174" s="33"/>
      <c r="BQZ174" s="33"/>
      <c r="BRJ174" s="33"/>
      <c r="BRT174" s="33"/>
      <c r="BSD174" s="33"/>
      <c r="BSN174" s="33"/>
      <c r="BSX174" s="33"/>
      <c r="BTH174" s="33"/>
      <c r="BTR174" s="33"/>
      <c r="BUB174" s="33"/>
      <c r="BUL174" s="33"/>
      <c r="BUV174" s="33"/>
      <c r="BVF174" s="33"/>
      <c r="BVP174" s="33"/>
      <c r="BVZ174" s="33"/>
      <c r="BWJ174" s="33"/>
      <c r="BWT174" s="33"/>
      <c r="BXD174" s="33"/>
      <c r="BXN174" s="33"/>
      <c r="BXX174" s="33"/>
      <c r="BYH174" s="33"/>
      <c r="BYR174" s="33"/>
      <c r="BZB174" s="33"/>
      <c r="BZL174" s="33"/>
      <c r="BZV174" s="33"/>
      <c r="CAF174" s="33"/>
      <c r="CAP174" s="33"/>
      <c r="CAZ174" s="33"/>
      <c r="CBJ174" s="33"/>
      <c r="CBT174" s="33"/>
      <c r="CCD174" s="33"/>
      <c r="CCN174" s="33"/>
      <c r="CCX174" s="33"/>
      <c r="CDH174" s="33"/>
      <c r="CDR174" s="33"/>
      <c r="CEB174" s="33"/>
      <c r="CEL174" s="33"/>
      <c r="CEV174" s="33"/>
      <c r="CFF174" s="33"/>
      <c r="CFP174" s="33"/>
      <c r="CFZ174" s="33"/>
      <c r="CGJ174" s="33"/>
      <c r="CGT174" s="33"/>
      <c r="CHD174" s="33"/>
      <c r="CHN174" s="33"/>
      <c r="CHX174" s="33"/>
      <c r="CIH174" s="33"/>
      <c r="CIR174" s="33"/>
      <c r="CJB174" s="33"/>
      <c r="CJL174" s="33"/>
      <c r="CJV174" s="33"/>
      <c r="CKF174" s="33"/>
      <c r="CKP174" s="33"/>
      <c r="CKZ174" s="33"/>
      <c r="CLJ174" s="33"/>
      <c r="CLT174" s="33"/>
      <c r="CMD174" s="33"/>
      <c r="CMN174" s="33"/>
      <c r="CMX174" s="33"/>
      <c r="CNH174" s="33"/>
      <c r="CNR174" s="33"/>
      <c r="COB174" s="33"/>
      <c r="COL174" s="33"/>
      <c r="COV174" s="33"/>
      <c r="CPF174" s="33"/>
      <c r="CPP174" s="33"/>
      <c r="CPZ174" s="33"/>
      <c r="CQJ174" s="33"/>
      <c r="CQT174" s="33"/>
      <c r="CRD174" s="33"/>
      <c r="CRN174" s="33"/>
      <c r="CRX174" s="33"/>
      <c r="CSH174" s="33"/>
      <c r="CSR174" s="33"/>
      <c r="CTB174" s="33"/>
      <c r="CTL174" s="33"/>
      <c r="CTV174" s="33"/>
    </row>
    <row r="175" s="16" customFormat="1" customHeight="1" spans="1:1020 1030:2040 2050:2570">
      <c r="A175" s="57"/>
      <c r="B175" s="52"/>
      <c r="C175" s="52"/>
      <c r="D175" s="52"/>
      <c r="E175" s="52"/>
      <c r="F175" s="58" t="str">
        <f>IFERROR(VLOOKUP(E175,日报!E:G,2,0),"")</f>
        <v/>
      </c>
      <c r="G175" s="52"/>
      <c r="H175" s="53" t="str">
        <f>IFERROR(VLOOKUP(E175,基础数据!$E$4:$H$4,4,0),"")</f>
        <v/>
      </c>
      <c r="I175" s="53" t="str">
        <f>IFERROR(VLOOKUP(E175,基础数据!$E$4:$H$4,3,0),"")</f>
        <v/>
      </c>
      <c r="J175" s="52"/>
      <c r="K175" s="54" t="str">
        <f t="shared" si="2"/>
        <v/>
      </c>
      <c r="T175" s="33"/>
      <c r="AD175" s="33"/>
      <c r="AN175" s="33"/>
      <c r="AX175" s="33"/>
      <c r="BH175" s="33"/>
      <c r="BR175" s="33"/>
      <c r="CB175" s="33"/>
      <c r="CL175" s="33"/>
      <c r="CV175" s="33"/>
      <c r="DF175" s="33"/>
      <c r="DP175" s="33"/>
      <c r="DZ175" s="33"/>
      <c r="EJ175" s="33"/>
      <c r="ET175" s="33"/>
      <c r="FD175" s="33"/>
      <c r="FN175" s="33"/>
      <c r="FX175" s="33"/>
      <c r="GH175" s="33"/>
      <c r="GR175" s="33"/>
      <c r="HB175" s="33"/>
      <c r="HL175" s="33"/>
      <c r="HV175" s="33"/>
      <c r="IF175" s="33"/>
      <c r="IP175" s="33"/>
      <c r="IZ175" s="33"/>
      <c r="JJ175" s="33"/>
      <c r="JT175" s="33"/>
      <c r="KD175" s="33"/>
      <c r="KN175" s="33"/>
      <c r="KX175" s="33"/>
      <c r="LH175" s="33"/>
      <c r="LR175" s="33"/>
      <c r="MB175" s="33"/>
      <c r="ML175" s="33"/>
      <c r="MV175" s="33"/>
      <c r="NF175" s="33"/>
      <c r="NP175" s="33"/>
      <c r="NZ175" s="33"/>
      <c r="OJ175" s="33"/>
      <c r="OT175" s="33"/>
      <c r="PD175" s="33"/>
      <c r="PN175" s="33"/>
      <c r="PX175" s="33"/>
      <c r="QH175" s="33"/>
      <c r="QR175" s="33"/>
      <c r="RB175" s="33"/>
      <c r="RL175" s="33"/>
      <c r="RV175" s="33"/>
      <c r="SF175" s="33"/>
      <c r="SP175" s="33"/>
      <c r="SZ175" s="33"/>
      <c r="TJ175" s="33"/>
      <c r="TT175" s="33"/>
      <c r="UD175" s="33"/>
      <c r="UN175" s="33"/>
      <c r="UX175" s="33"/>
      <c r="VH175" s="33"/>
      <c r="VR175" s="33"/>
      <c r="WB175" s="33"/>
      <c r="WL175" s="33"/>
      <c r="WV175" s="33"/>
      <c r="XF175" s="33"/>
      <c r="XP175" s="33"/>
      <c r="XZ175" s="33"/>
      <c r="YJ175" s="33"/>
      <c r="YT175" s="33"/>
      <c r="ZD175" s="33"/>
      <c r="ZN175" s="33"/>
      <c r="ZX175" s="33"/>
      <c r="AAH175" s="33"/>
      <c r="AAR175" s="33"/>
      <c r="ABB175" s="33"/>
      <c r="ABL175" s="33"/>
      <c r="ABV175" s="33"/>
      <c r="ACF175" s="33"/>
      <c r="ACP175" s="33"/>
      <c r="ACZ175" s="33"/>
      <c r="ADJ175" s="33"/>
      <c r="ADT175" s="33"/>
      <c r="AED175" s="33"/>
      <c r="AEN175" s="33"/>
      <c r="AEX175" s="33"/>
      <c r="AFH175" s="33"/>
      <c r="AFR175" s="33"/>
      <c r="AGB175" s="33"/>
      <c r="AGL175" s="33"/>
      <c r="AGV175" s="33"/>
      <c r="AHF175" s="33"/>
      <c r="AHP175" s="33"/>
      <c r="AHZ175" s="33"/>
      <c r="AIJ175" s="33"/>
      <c r="AIT175" s="33"/>
      <c r="AJD175" s="33"/>
      <c r="AJN175" s="33"/>
      <c r="AJX175" s="33"/>
      <c r="AKH175" s="33"/>
      <c r="AKR175" s="33"/>
      <c r="ALB175" s="33"/>
      <c r="ALL175" s="33"/>
      <c r="ALV175" s="33"/>
      <c r="AMF175" s="33"/>
      <c r="AMP175" s="33"/>
      <c r="AMZ175" s="33"/>
      <c r="ANJ175" s="33"/>
      <c r="ANT175" s="33"/>
      <c r="AOD175" s="33"/>
      <c r="AON175" s="33"/>
      <c r="AOX175" s="33"/>
      <c r="APH175" s="33"/>
      <c r="APR175" s="33"/>
      <c r="AQB175" s="33"/>
      <c r="AQL175" s="33"/>
      <c r="AQV175" s="33"/>
      <c r="ARF175" s="33"/>
      <c r="ARP175" s="33"/>
      <c r="ARZ175" s="33"/>
      <c r="ASJ175" s="33"/>
      <c r="AST175" s="33"/>
      <c r="ATD175" s="33"/>
      <c r="ATN175" s="33"/>
      <c r="ATX175" s="33"/>
      <c r="AUH175" s="33"/>
      <c r="AUR175" s="33"/>
      <c r="AVB175" s="33"/>
      <c r="AVL175" s="33"/>
      <c r="AVV175" s="33"/>
      <c r="AWF175" s="33"/>
      <c r="AWP175" s="33"/>
      <c r="AWZ175" s="33"/>
      <c r="AXJ175" s="33"/>
      <c r="AXT175" s="33"/>
      <c r="AYD175" s="33"/>
      <c r="AYN175" s="33"/>
      <c r="AYX175" s="33"/>
      <c r="AZH175" s="33"/>
      <c r="AZR175" s="33"/>
      <c r="BAB175" s="33"/>
      <c r="BAL175" s="33"/>
      <c r="BAV175" s="33"/>
      <c r="BBF175" s="33"/>
      <c r="BBP175" s="33"/>
      <c r="BBZ175" s="33"/>
      <c r="BCJ175" s="33"/>
      <c r="BCT175" s="33"/>
      <c r="BDD175" s="33"/>
      <c r="BDN175" s="33"/>
      <c r="BDX175" s="33"/>
      <c r="BEH175" s="33"/>
      <c r="BER175" s="33"/>
      <c r="BFB175" s="33"/>
      <c r="BFL175" s="33"/>
      <c r="BFV175" s="33"/>
      <c r="BGF175" s="33"/>
      <c r="BGP175" s="33"/>
      <c r="BGZ175" s="33"/>
      <c r="BHJ175" s="33"/>
      <c r="BHT175" s="33"/>
      <c r="BID175" s="33"/>
      <c r="BIN175" s="33"/>
      <c r="BIX175" s="33"/>
      <c r="BJH175" s="33"/>
      <c r="BJR175" s="33"/>
      <c r="BKB175" s="33"/>
      <c r="BKL175" s="33"/>
      <c r="BKV175" s="33"/>
      <c r="BLF175" s="33"/>
      <c r="BLP175" s="33"/>
      <c r="BLZ175" s="33"/>
      <c r="BMJ175" s="33"/>
      <c r="BMT175" s="33"/>
      <c r="BND175" s="33"/>
      <c r="BNN175" s="33"/>
      <c r="BNX175" s="33"/>
      <c r="BOH175" s="33"/>
      <c r="BOR175" s="33"/>
      <c r="BPB175" s="33"/>
      <c r="BPL175" s="33"/>
      <c r="BPV175" s="33"/>
      <c r="BQF175" s="33"/>
      <c r="BQP175" s="33"/>
      <c r="BQZ175" s="33"/>
      <c r="BRJ175" s="33"/>
      <c r="BRT175" s="33"/>
      <c r="BSD175" s="33"/>
      <c r="BSN175" s="33"/>
      <c r="BSX175" s="33"/>
      <c r="BTH175" s="33"/>
      <c r="BTR175" s="33"/>
      <c r="BUB175" s="33"/>
      <c r="BUL175" s="33"/>
      <c r="BUV175" s="33"/>
      <c r="BVF175" s="33"/>
      <c r="BVP175" s="33"/>
      <c r="BVZ175" s="33"/>
      <c r="BWJ175" s="33"/>
      <c r="BWT175" s="33"/>
      <c r="BXD175" s="33"/>
      <c r="BXN175" s="33"/>
      <c r="BXX175" s="33"/>
      <c r="BYH175" s="33"/>
      <c r="BYR175" s="33"/>
      <c r="BZB175" s="33"/>
      <c r="BZL175" s="33"/>
      <c r="BZV175" s="33"/>
      <c r="CAF175" s="33"/>
      <c r="CAP175" s="33"/>
      <c r="CAZ175" s="33"/>
      <c r="CBJ175" s="33"/>
      <c r="CBT175" s="33"/>
      <c r="CCD175" s="33"/>
      <c r="CCN175" s="33"/>
      <c r="CCX175" s="33"/>
      <c r="CDH175" s="33"/>
      <c r="CDR175" s="33"/>
      <c r="CEB175" s="33"/>
      <c r="CEL175" s="33"/>
      <c r="CEV175" s="33"/>
      <c r="CFF175" s="33"/>
      <c r="CFP175" s="33"/>
      <c r="CFZ175" s="33"/>
      <c r="CGJ175" s="33"/>
      <c r="CGT175" s="33"/>
      <c r="CHD175" s="33"/>
      <c r="CHN175" s="33"/>
      <c r="CHX175" s="33"/>
      <c r="CIH175" s="33"/>
      <c r="CIR175" s="33"/>
      <c r="CJB175" s="33"/>
      <c r="CJL175" s="33"/>
      <c r="CJV175" s="33"/>
      <c r="CKF175" s="33"/>
      <c r="CKP175" s="33"/>
      <c r="CKZ175" s="33"/>
      <c r="CLJ175" s="33"/>
      <c r="CLT175" s="33"/>
      <c r="CMD175" s="33"/>
      <c r="CMN175" s="33"/>
      <c r="CMX175" s="33"/>
      <c r="CNH175" s="33"/>
      <c r="CNR175" s="33"/>
      <c r="COB175" s="33"/>
      <c r="COL175" s="33"/>
      <c r="COV175" s="33"/>
      <c r="CPF175" s="33"/>
      <c r="CPP175" s="33"/>
      <c r="CPZ175" s="33"/>
      <c r="CQJ175" s="33"/>
      <c r="CQT175" s="33"/>
      <c r="CRD175" s="33"/>
      <c r="CRN175" s="33"/>
      <c r="CRX175" s="33"/>
      <c r="CSH175" s="33"/>
      <c r="CSR175" s="33"/>
      <c r="CTB175" s="33"/>
      <c r="CTL175" s="33"/>
      <c r="CTV175" s="33"/>
    </row>
    <row r="176" s="16" customFormat="1" customHeight="1" spans="1:1020 1030:2040 2050:2570">
      <c r="A176" s="57"/>
      <c r="B176" s="52"/>
      <c r="C176" s="52"/>
      <c r="D176" s="52"/>
      <c r="E176" s="52"/>
      <c r="F176" s="58" t="str">
        <f>IFERROR(VLOOKUP(E176,日报!E:G,2,0),"")</f>
        <v/>
      </c>
      <c r="G176" s="52"/>
      <c r="H176" s="53" t="str">
        <f>IFERROR(VLOOKUP(E176,基础数据!$E$4:$H$4,4,0),"")</f>
        <v/>
      </c>
      <c r="I176" s="53" t="str">
        <f>IFERROR(VLOOKUP(E176,基础数据!$E$4:$H$4,3,0),"")</f>
        <v/>
      </c>
      <c r="J176" s="52"/>
      <c r="K176" s="54" t="str">
        <f t="shared" si="2"/>
        <v/>
      </c>
      <c r="T176" s="33"/>
      <c r="AD176" s="33"/>
      <c r="AN176" s="33"/>
      <c r="AX176" s="33"/>
      <c r="BH176" s="33"/>
      <c r="BR176" s="33"/>
      <c r="CB176" s="33"/>
      <c r="CL176" s="33"/>
      <c r="CV176" s="33"/>
      <c r="DF176" s="33"/>
      <c r="DP176" s="33"/>
      <c r="DZ176" s="33"/>
      <c r="EJ176" s="33"/>
      <c r="ET176" s="33"/>
      <c r="FD176" s="33"/>
      <c r="FN176" s="33"/>
      <c r="FX176" s="33"/>
      <c r="GH176" s="33"/>
      <c r="GR176" s="33"/>
      <c r="HB176" s="33"/>
      <c r="HL176" s="33"/>
      <c r="HV176" s="33"/>
      <c r="IF176" s="33"/>
      <c r="IP176" s="33"/>
      <c r="IZ176" s="33"/>
      <c r="JJ176" s="33"/>
      <c r="JT176" s="33"/>
      <c r="KD176" s="33"/>
      <c r="KN176" s="33"/>
      <c r="KX176" s="33"/>
      <c r="LH176" s="33"/>
      <c r="LR176" s="33"/>
      <c r="MB176" s="33"/>
      <c r="ML176" s="33"/>
      <c r="MV176" s="33"/>
      <c r="NF176" s="33"/>
      <c r="NP176" s="33"/>
      <c r="NZ176" s="33"/>
      <c r="OJ176" s="33"/>
      <c r="OT176" s="33"/>
      <c r="PD176" s="33"/>
      <c r="PN176" s="33"/>
      <c r="PX176" s="33"/>
      <c r="QH176" s="33"/>
      <c r="QR176" s="33"/>
      <c r="RB176" s="33"/>
      <c r="RL176" s="33"/>
      <c r="RV176" s="33"/>
      <c r="SF176" s="33"/>
      <c r="SP176" s="33"/>
      <c r="SZ176" s="33"/>
      <c r="TJ176" s="33"/>
      <c r="TT176" s="33"/>
      <c r="UD176" s="33"/>
      <c r="UN176" s="33"/>
      <c r="UX176" s="33"/>
      <c r="VH176" s="33"/>
      <c r="VR176" s="33"/>
      <c r="WB176" s="33"/>
      <c r="WL176" s="33"/>
      <c r="WV176" s="33"/>
      <c r="XF176" s="33"/>
      <c r="XP176" s="33"/>
      <c r="XZ176" s="33"/>
      <c r="YJ176" s="33"/>
      <c r="YT176" s="33"/>
      <c r="ZD176" s="33"/>
      <c r="ZN176" s="33"/>
      <c r="ZX176" s="33"/>
      <c r="AAH176" s="33"/>
      <c r="AAR176" s="33"/>
      <c r="ABB176" s="33"/>
      <c r="ABL176" s="33"/>
      <c r="ABV176" s="33"/>
      <c r="ACF176" s="33"/>
      <c r="ACP176" s="33"/>
      <c r="ACZ176" s="33"/>
      <c r="ADJ176" s="33"/>
      <c r="ADT176" s="33"/>
      <c r="AED176" s="33"/>
      <c r="AEN176" s="33"/>
      <c r="AEX176" s="33"/>
      <c r="AFH176" s="33"/>
      <c r="AFR176" s="33"/>
      <c r="AGB176" s="33"/>
      <c r="AGL176" s="33"/>
      <c r="AGV176" s="33"/>
      <c r="AHF176" s="33"/>
      <c r="AHP176" s="33"/>
      <c r="AHZ176" s="33"/>
      <c r="AIJ176" s="33"/>
      <c r="AIT176" s="33"/>
      <c r="AJD176" s="33"/>
      <c r="AJN176" s="33"/>
      <c r="AJX176" s="33"/>
      <c r="AKH176" s="33"/>
      <c r="AKR176" s="33"/>
      <c r="ALB176" s="33"/>
      <c r="ALL176" s="33"/>
      <c r="ALV176" s="33"/>
      <c r="AMF176" s="33"/>
      <c r="AMP176" s="33"/>
      <c r="AMZ176" s="33"/>
      <c r="ANJ176" s="33"/>
      <c r="ANT176" s="33"/>
      <c r="AOD176" s="33"/>
      <c r="AON176" s="33"/>
      <c r="AOX176" s="33"/>
      <c r="APH176" s="33"/>
      <c r="APR176" s="33"/>
      <c r="AQB176" s="33"/>
      <c r="AQL176" s="33"/>
      <c r="AQV176" s="33"/>
      <c r="ARF176" s="33"/>
      <c r="ARP176" s="33"/>
      <c r="ARZ176" s="33"/>
      <c r="ASJ176" s="33"/>
      <c r="AST176" s="33"/>
      <c r="ATD176" s="33"/>
      <c r="ATN176" s="33"/>
      <c r="ATX176" s="33"/>
      <c r="AUH176" s="33"/>
      <c r="AUR176" s="33"/>
      <c r="AVB176" s="33"/>
      <c r="AVL176" s="33"/>
      <c r="AVV176" s="33"/>
      <c r="AWF176" s="33"/>
      <c r="AWP176" s="33"/>
      <c r="AWZ176" s="33"/>
      <c r="AXJ176" s="33"/>
      <c r="AXT176" s="33"/>
      <c r="AYD176" s="33"/>
      <c r="AYN176" s="33"/>
      <c r="AYX176" s="33"/>
      <c r="AZH176" s="33"/>
      <c r="AZR176" s="33"/>
      <c r="BAB176" s="33"/>
      <c r="BAL176" s="33"/>
      <c r="BAV176" s="33"/>
      <c r="BBF176" s="33"/>
      <c r="BBP176" s="33"/>
      <c r="BBZ176" s="33"/>
      <c r="BCJ176" s="33"/>
      <c r="BCT176" s="33"/>
      <c r="BDD176" s="33"/>
      <c r="BDN176" s="33"/>
      <c r="BDX176" s="33"/>
      <c r="BEH176" s="33"/>
      <c r="BER176" s="33"/>
      <c r="BFB176" s="33"/>
      <c r="BFL176" s="33"/>
      <c r="BFV176" s="33"/>
      <c r="BGF176" s="33"/>
      <c r="BGP176" s="33"/>
      <c r="BGZ176" s="33"/>
      <c r="BHJ176" s="33"/>
      <c r="BHT176" s="33"/>
      <c r="BID176" s="33"/>
      <c r="BIN176" s="33"/>
      <c r="BIX176" s="33"/>
      <c r="BJH176" s="33"/>
      <c r="BJR176" s="33"/>
      <c r="BKB176" s="33"/>
      <c r="BKL176" s="33"/>
      <c r="BKV176" s="33"/>
      <c r="BLF176" s="33"/>
      <c r="BLP176" s="33"/>
      <c r="BLZ176" s="33"/>
      <c r="BMJ176" s="33"/>
      <c r="BMT176" s="33"/>
      <c r="BND176" s="33"/>
      <c r="BNN176" s="33"/>
      <c r="BNX176" s="33"/>
      <c r="BOH176" s="33"/>
      <c r="BOR176" s="33"/>
      <c r="BPB176" s="33"/>
      <c r="BPL176" s="33"/>
      <c r="BPV176" s="33"/>
      <c r="BQF176" s="33"/>
      <c r="BQP176" s="33"/>
      <c r="BQZ176" s="33"/>
      <c r="BRJ176" s="33"/>
      <c r="BRT176" s="33"/>
      <c r="BSD176" s="33"/>
      <c r="BSN176" s="33"/>
      <c r="BSX176" s="33"/>
      <c r="BTH176" s="33"/>
      <c r="BTR176" s="33"/>
      <c r="BUB176" s="33"/>
      <c r="BUL176" s="33"/>
      <c r="BUV176" s="33"/>
      <c r="BVF176" s="33"/>
      <c r="BVP176" s="33"/>
      <c r="BVZ176" s="33"/>
      <c r="BWJ176" s="33"/>
      <c r="BWT176" s="33"/>
      <c r="BXD176" s="33"/>
      <c r="BXN176" s="33"/>
      <c r="BXX176" s="33"/>
      <c r="BYH176" s="33"/>
      <c r="BYR176" s="33"/>
      <c r="BZB176" s="33"/>
      <c r="BZL176" s="33"/>
      <c r="BZV176" s="33"/>
      <c r="CAF176" s="33"/>
      <c r="CAP176" s="33"/>
      <c r="CAZ176" s="33"/>
      <c r="CBJ176" s="33"/>
      <c r="CBT176" s="33"/>
      <c r="CCD176" s="33"/>
      <c r="CCN176" s="33"/>
      <c r="CCX176" s="33"/>
      <c r="CDH176" s="33"/>
      <c r="CDR176" s="33"/>
      <c r="CEB176" s="33"/>
      <c r="CEL176" s="33"/>
      <c r="CEV176" s="33"/>
      <c r="CFF176" s="33"/>
      <c r="CFP176" s="33"/>
      <c r="CFZ176" s="33"/>
      <c r="CGJ176" s="33"/>
      <c r="CGT176" s="33"/>
      <c r="CHD176" s="33"/>
      <c r="CHN176" s="33"/>
      <c r="CHX176" s="33"/>
      <c r="CIH176" s="33"/>
      <c r="CIR176" s="33"/>
      <c r="CJB176" s="33"/>
      <c r="CJL176" s="33"/>
      <c r="CJV176" s="33"/>
      <c r="CKF176" s="33"/>
      <c r="CKP176" s="33"/>
      <c r="CKZ176" s="33"/>
      <c r="CLJ176" s="33"/>
      <c r="CLT176" s="33"/>
      <c r="CMD176" s="33"/>
      <c r="CMN176" s="33"/>
      <c r="CMX176" s="33"/>
      <c r="CNH176" s="33"/>
      <c r="CNR176" s="33"/>
      <c r="COB176" s="33"/>
      <c r="COL176" s="33"/>
      <c r="COV176" s="33"/>
      <c r="CPF176" s="33"/>
      <c r="CPP176" s="33"/>
      <c r="CPZ176" s="33"/>
      <c r="CQJ176" s="33"/>
      <c r="CQT176" s="33"/>
      <c r="CRD176" s="33"/>
      <c r="CRN176" s="33"/>
      <c r="CRX176" s="33"/>
      <c r="CSH176" s="33"/>
      <c r="CSR176" s="33"/>
      <c r="CTB176" s="33"/>
      <c r="CTL176" s="33"/>
      <c r="CTV176" s="33"/>
    </row>
    <row r="177" s="16" customFormat="1" customHeight="1" spans="1:1020 1030:2040 2050:2570">
      <c r="A177" s="57"/>
      <c r="B177" s="52"/>
      <c r="C177" s="52"/>
      <c r="D177" s="52"/>
      <c r="E177" s="52"/>
      <c r="F177" s="58" t="str">
        <f>IFERROR(VLOOKUP(E177,日报!E:G,2,0),"")</f>
        <v/>
      </c>
      <c r="G177" s="52"/>
      <c r="H177" s="53" t="str">
        <f>IFERROR(VLOOKUP(E177,基础数据!$E$4:$H$4,4,0),"")</f>
        <v/>
      </c>
      <c r="I177" s="53" t="str">
        <f>IFERROR(VLOOKUP(E177,基础数据!$E$4:$H$4,3,0),"")</f>
        <v/>
      </c>
      <c r="J177" s="52"/>
      <c r="K177" s="54" t="str">
        <f t="shared" si="2"/>
        <v/>
      </c>
      <c r="T177" s="33"/>
      <c r="AD177" s="33"/>
      <c r="AN177" s="33"/>
      <c r="AX177" s="33"/>
      <c r="BH177" s="33"/>
      <c r="BR177" s="33"/>
      <c r="CB177" s="33"/>
      <c r="CL177" s="33"/>
      <c r="CV177" s="33"/>
      <c r="DF177" s="33"/>
      <c r="DP177" s="33"/>
      <c r="DZ177" s="33"/>
      <c r="EJ177" s="33"/>
      <c r="ET177" s="33"/>
      <c r="FD177" s="33"/>
      <c r="FN177" s="33"/>
      <c r="FX177" s="33"/>
      <c r="GH177" s="33"/>
      <c r="GR177" s="33"/>
      <c r="HB177" s="33"/>
      <c r="HL177" s="33"/>
      <c r="HV177" s="33"/>
      <c r="IF177" s="33"/>
      <c r="IP177" s="33"/>
      <c r="IZ177" s="33"/>
      <c r="JJ177" s="33"/>
      <c r="JT177" s="33"/>
      <c r="KD177" s="33"/>
      <c r="KN177" s="33"/>
      <c r="KX177" s="33"/>
      <c r="LH177" s="33"/>
      <c r="LR177" s="33"/>
      <c r="MB177" s="33"/>
      <c r="ML177" s="33"/>
      <c r="MV177" s="33"/>
      <c r="NF177" s="33"/>
      <c r="NP177" s="33"/>
      <c r="NZ177" s="33"/>
      <c r="OJ177" s="33"/>
      <c r="OT177" s="33"/>
      <c r="PD177" s="33"/>
      <c r="PN177" s="33"/>
      <c r="PX177" s="33"/>
      <c r="QH177" s="33"/>
      <c r="QR177" s="33"/>
      <c r="RB177" s="33"/>
      <c r="RL177" s="33"/>
      <c r="RV177" s="33"/>
      <c r="SF177" s="33"/>
      <c r="SP177" s="33"/>
      <c r="SZ177" s="33"/>
      <c r="TJ177" s="33"/>
      <c r="TT177" s="33"/>
      <c r="UD177" s="33"/>
      <c r="UN177" s="33"/>
      <c r="UX177" s="33"/>
      <c r="VH177" s="33"/>
      <c r="VR177" s="33"/>
      <c r="WB177" s="33"/>
      <c r="WL177" s="33"/>
      <c r="WV177" s="33"/>
      <c r="XF177" s="33"/>
      <c r="XP177" s="33"/>
      <c r="XZ177" s="33"/>
      <c r="YJ177" s="33"/>
      <c r="YT177" s="33"/>
      <c r="ZD177" s="33"/>
      <c r="ZN177" s="33"/>
      <c r="ZX177" s="33"/>
      <c r="AAH177" s="33"/>
      <c r="AAR177" s="33"/>
      <c r="ABB177" s="33"/>
      <c r="ABL177" s="33"/>
      <c r="ABV177" s="33"/>
      <c r="ACF177" s="33"/>
      <c r="ACP177" s="33"/>
      <c r="ACZ177" s="33"/>
      <c r="ADJ177" s="33"/>
      <c r="ADT177" s="33"/>
      <c r="AED177" s="33"/>
      <c r="AEN177" s="33"/>
      <c r="AEX177" s="33"/>
      <c r="AFH177" s="33"/>
      <c r="AFR177" s="33"/>
      <c r="AGB177" s="33"/>
      <c r="AGL177" s="33"/>
      <c r="AGV177" s="33"/>
      <c r="AHF177" s="33"/>
      <c r="AHP177" s="33"/>
      <c r="AHZ177" s="33"/>
      <c r="AIJ177" s="33"/>
      <c r="AIT177" s="33"/>
      <c r="AJD177" s="33"/>
      <c r="AJN177" s="33"/>
      <c r="AJX177" s="33"/>
      <c r="AKH177" s="33"/>
      <c r="AKR177" s="33"/>
      <c r="ALB177" s="33"/>
      <c r="ALL177" s="33"/>
      <c r="ALV177" s="33"/>
      <c r="AMF177" s="33"/>
      <c r="AMP177" s="33"/>
      <c r="AMZ177" s="33"/>
      <c r="ANJ177" s="33"/>
      <c r="ANT177" s="33"/>
      <c r="AOD177" s="33"/>
      <c r="AON177" s="33"/>
      <c r="AOX177" s="33"/>
      <c r="APH177" s="33"/>
      <c r="APR177" s="33"/>
      <c r="AQB177" s="33"/>
      <c r="AQL177" s="33"/>
      <c r="AQV177" s="33"/>
      <c r="ARF177" s="33"/>
      <c r="ARP177" s="33"/>
      <c r="ARZ177" s="33"/>
      <c r="ASJ177" s="33"/>
      <c r="AST177" s="33"/>
      <c r="ATD177" s="33"/>
      <c r="ATN177" s="33"/>
      <c r="ATX177" s="33"/>
      <c r="AUH177" s="33"/>
      <c r="AUR177" s="33"/>
      <c r="AVB177" s="33"/>
      <c r="AVL177" s="33"/>
      <c r="AVV177" s="33"/>
      <c r="AWF177" s="33"/>
      <c r="AWP177" s="33"/>
      <c r="AWZ177" s="33"/>
      <c r="AXJ177" s="33"/>
      <c r="AXT177" s="33"/>
      <c r="AYD177" s="33"/>
      <c r="AYN177" s="33"/>
      <c r="AYX177" s="33"/>
      <c r="AZH177" s="33"/>
      <c r="AZR177" s="33"/>
      <c r="BAB177" s="33"/>
      <c r="BAL177" s="33"/>
      <c r="BAV177" s="33"/>
      <c r="BBF177" s="33"/>
      <c r="BBP177" s="33"/>
      <c r="BBZ177" s="33"/>
      <c r="BCJ177" s="33"/>
      <c r="BCT177" s="33"/>
      <c r="BDD177" s="33"/>
      <c r="BDN177" s="33"/>
      <c r="BDX177" s="33"/>
      <c r="BEH177" s="33"/>
      <c r="BER177" s="33"/>
      <c r="BFB177" s="33"/>
      <c r="BFL177" s="33"/>
      <c r="BFV177" s="33"/>
      <c r="BGF177" s="33"/>
      <c r="BGP177" s="33"/>
      <c r="BGZ177" s="33"/>
      <c r="BHJ177" s="33"/>
      <c r="BHT177" s="33"/>
      <c r="BID177" s="33"/>
      <c r="BIN177" s="33"/>
      <c r="BIX177" s="33"/>
      <c r="BJH177" s="33"/>
      <c r="BJR177" s="33"/>
      <c r="BKB177" s="33"/>
      <c r="BKL177" s="33"/>
      <c r="BKV177" s="33"/>
      <c r="BLF177" s="33"/>
      <c r="BLP177" s="33"/>
      <c r="BLZ177" s="33"/>
      <c r="BMJ177" s="33"/>
      <c r="BMT177" s="33"/>
      <c r="BND177" s="33"/>
      <c r="BNN177" s="33"/>
      <c r="BNX177" s="33"/>
      <c r="BOH177" s="33"/>
      <c r="BOR177" s="33"/>
      <c r="BPB177" s="33"/>
      <c r="BPL177" s="33"/>
      <c r="BPV177" s="33"/>
      <c r="BQF177" s="33"/>
      <c r="BQP177" s="33"/>
      <c r="BQZ177" s="33"/>
      <c r="BRJ177" s="33"/>
      <c r="BRT177" s="33"/>
      <c r="BSD177" s="33"/>
      <c r="BSN177" s="33"/>
      <c r="BSX177" s="33"/>
      <c r="BTH177" s="33"/>
      <c r="BTR177" s="33"/>
      <c r="BUB177" s="33"/>
      <c r="BUL177" s="33"/>
      <c r="BUV177" s="33"/>
      <c r="BVF177" s="33"/>
      <c r="BVP177" s="33"/>
      <c r="BVZ177" s="33"/>
      <c r="BWJ177" s="33"/>
      <c r="BWT177" s="33"/>
      <c r="BXD177" s="33"/>
      <c r="BXN177" s="33"/>
      <c r="BXX177" s="33"/>
      <c r="BYH177" s="33"/>
      <c r="BYR177" s="33"/>
      <c r="BZB177" s="33"/>
      <c r="BZL177" s="33"/>
      <c r="BZV177" s="33"/>
      <c r="CAF177" s="33"/>
      <c r="CAP177" s="33"/>
      <c r="CAZ177" s="33"/>
      <c r="CBJ177" s="33"/>
      <c r="CBT177" s="33"/>
      <c r="CCD177" s="33"/>
      <c r="CCN177" s="33"/>
      <c r="CCX177" s="33"/>
      <c r="CDH177" s="33"/>
      <c r="CDR177" s="33"/>
      <c r="CEB177" s="33"/>
      <c r="CEL177" s="33"/>
      <c r="CEV177" s="33"/>
      <c r="CFF177" s="33"/>
      <c r="CFP177" s="33"/>
      <c r="CFZ177" s="33"/>
      <c r="CGJ177" s="33"/>
      <c r="CGT177" s="33"/>
      <c r="CHD177" s="33"/>
      <c r="CHN177" s="33"/>
      <c r="CHX177" s="33"/>
      <c r="CIH177" s="33"/>
      <c r="CIR177" s="33"/>
      <c r="CJB177" s="33"/>
      <c r="CJL177" s="33"/>
      <c r="CJV177" s="33"/>
      <c r="CKF177" s="33"/>
      <c r="CKP177" s="33"/>
      <c r="CKZ177" s="33"/>
      <c r="CLJ177" s="33"/>
      <c r="CLT177" s="33"/>
      <c r="CMD177" s="33"/>
      <c r="CMN177" s="33"/>
      <c r="CMX177" s="33"/>
      <c r="CNH177" s="33"/>
      <c r="CNR177" s="33"/>
      <c r="COB177" s="33"/>
      <c r="COL177" s="33"/>
      <c r="COV177" s="33"/>
      <c r="CPF177" s="33"/>
      <c r="CPP177" s="33"/>
      <c r="CPZ177" s="33"/>
      <c r="CQJ177" s="33"/>
      <c r="CQT177" s="33"/>
      <c r="CRD177" s="33"/>
      <c r="CRN177" s="33"/>
      <c r="CRX177" s="33"/>
      <c r="CSH177" s="33"/>
      <c r="CSR177" s="33"/>
      <c r="CTB177" s="33"/>
      <c r="CTL177" s="33"/>
      <c r="CTV177" s="33"/>
    </row>
    <row r="178" s="16" customFormat="1" customHeight="1" spans="1:1020 1030:2040 2050:2570">
      <c r="A178" s="57"/>
      <c r="B178" s="52"/>
      <c r="C178" s="52"/>
      <c r="D178" s="52"/>
      <c r="E178" s="52"/>
      <c r="F178" s="58" t="str">
        <f>IFERROR(VLOOKUP(E178,日报!E:G,2,0),"")</f>
        <v/>
      </c>
      <c r="G178" s="52"/>
      <c r="H178" s="53" t="str">
        <f>IFERROR(VLOOKUP(E178,基础数据!$E$4:$H$4,4,0),"")</f>
        <v/>
      </c>
      <c r="I178" s="53" t="str">
        <f>IFERROR(VLOOKUP(E178,基础数据!$E$4:$H$4,3,0),"")</f>
        <v/>
      </c>
      <c r="J178" s="52"/>
      <c r="K178" s="54" t="str">
        <f t="shared" si="2"/>
        <v/>
      </c>
      <c r="T178" s="33"/>
      <c r="AD178" s="33"/>
      <c r="AN178" s="33"/>
      <c r="AX178" s="33"/>
      <c r="BH178" s="33"/>
      <c r="BR178" s="33"/>
      <c r="CB178" s="33"/>
      <c r="CL178" s="33"/>
      <c r="CV178" s="33"/>
      <c r="DF178" s="33"/>
      <c r="DP178" s="33"/>
      <c r="DZ178" s="33"/>
      <c r="EJ178" s="33"/>
      <c r="ET178" s="33"/>
      <c r="FD178" s="33"/>
      <c r="FN178" s="33"/>
      <c r="FX178" s="33"/>
      <c r="GH178" s="33"/>
      <c r="GR178" s="33"/>
      <c r="HB178" s="33"/>
      <c r="HL178" s="33"/>
      <c r="HV178" s="33"/>
      <c r="IF178" s="33"/>
      <c r="IP178" s="33"/>
      <c r="IZ178" s="33"/>
      <c r="JJ178" s="33"/>
      <c r="JT178" s="33"/>
      <c r="KD178" s="33"/>
      <c r="KN178" s="33"/>
      <c r="KX178" s="33"/>
      <c r="LH178" s="33"/>
      <c r="LR178" s="33"/>
      <c r="MB178" s="33"/>
      <c r="ML178" s="33"/>
      <c r="MV178" s="33"/>
      <c r="NF178" s="33"/>
      <c r="NP178" s="33"/>
      <c r="NZ178" s="33"/>
      <c r="OJ178" s="33"/>
      <c r="OT178" s="33"/>
      <c r="PD178" s="33"/>
      <c r="PN178" s="33"/>
      <c r="PX178" s="33"/>
      <c r="QH178" s="33"/>
      <c r="QR178" s="33"/>
      <c r="RB178" s="33"/>
      <c r="RL178" s="33"/>
      <c r="RV178" s="33"/>
      <c r="SF178" s="33"/>
      <c r="SP178" s="33"/>
      <c r="SZ178" s="33"/>
      <c r="TJ178" s="33"/>
      <c r="TT178" s="33"/>
      <c r="UD178" s="33"/>
      <c r="UN178" s="33"/>
      <c r="UX178" s="33"/>
      <c r="VH178" s="33"/>
      <c r="VR178" s="33"/>
      <c r="WB178" s="33"/>
      <c r="WL178" s="33"/>
      <c r="WV178" s="33"/>
      <c r="XF178" s="33"/>
      <c r="XP178" s="33"/>
      <c r="XZ178" s="33"/>
      <c r="YJ178" s="33"/>
      <c r="YT178" s="33"/>
      <c r="ZD178" s="33"/>
      <c r="ZN178" s="33"/>
      <c r="ZX178" s="33"/>
      <c r="AAH178" s="33"/>
      <c r="AAR178" s="33"/>
      <c r="ABB178" s="33"/>
      <c r="ABL178" s="33"/>
      <c r="ABV178" s="33"/>
      <c r="ACF178" s="33"/>
      <c r="ACP178" s="33"/>
      <c r="ACZ178" s="33"/>
      <c r="ADJ178" s="33"/>
      <c r="ADT178" s="33"/>
      <c r="AED178" s="33"/>
      <c r="AEN178" s="33"/>
      <c r="AEX178" s="33"/>
      <c r="AFH178" s="33"/>
      <c r="AFR178" s="33"/>
      <c r="AGB178" s="33"/>
      <c r="AGL178" s="33"/>
      <c r="AGV178" s="33"/>
      <c r="AHF178" s="33"/>
      <c r="AHP178" s="33"/>
      <c r="AHZ178" s="33"/>
      <c r="AIJ178" s="33"/>
      <c r="AIT178" s="33"/>
      <c r="AJD178" s="33"/>
      <c r="AJN178" s="33"/>
      <c r="AJX178" s="33"/>
      <c r="AKH178" s="33"/>
      <c r="AKR178" s="33"/>
      <c r="ALB178" s="33"/>
      <c r="ALL178" s="33"/>
      <c r="ALV178" s="33"/>
      <c r="AMF178" s="33"/>
      <c r="AMP178" s="33"/>
      <c r="AMZ178" s="33"/>
      <c r="ANJ178" s="33"/>
      <c r="ANT178" s="33"/>
      <c r="AOD178" s="33"/>
      <c r="AON178" s="33"/>
      <c r="AOX178" s="33"/>
      <c r="APH178" s="33"/>
      <c r="APR178" s="33"/>
      <c r="AQB178" s="33"/>
      <c r="AQL178" s="33"/>
      <c r="AQV178" s="33"/>
      <c r="ARF178" s="33"/>
      <c r="ARP178" s="33"/>
      <c r="ARZ178" s="33"/>
      <c r="ASJ178" s="33"/>
      <c r="AST178" s="33"/>
      <c r="ATD178" s="33"/>
      <c r="ATN178" s="33"/>
      <c r="ATX178" s="33"/>
      <c r="AUH178" s="33"/>
      <c r="AUR178" s="33"/>
      <c r="AVB178" s="33"/>
      <c r="AVL178" s="33"/>
      <c r="AVV178" s="33"/>
      <c r="AWF178" s="33"/>
      <c r="AWP178" s="33"/>
      <c r="AWZ178" s="33"/>
      <c r="AXJ178" s="33"/>
      <c r="AXT178" s="33"/>
      <c r="AYD178" s="33"/>
      <c r="AYN178" s="33"/>
      <c r="AYX178" s="33"/>
      <c r="AZH178" s="33"/>
      <c r="AZR178" s="33"/>
      <c r="BAB178" s="33"/>
      <c r="BAL178" s="33"/>
      <c r="BAV178" s="33"/>
      <c r="BBF178" s="33"/>
      <c r="BBP178" s="33"/>
      <c r="BBZ178" s="33"/>
      <c r="BCJ178" s="33"/>
      <c r="BCT178" s="33"/>
      <c r="BDD178" s="33"/>
      <c r="BDN178" s="33"/>
      <c r="BDX178" s="33"/>
      <c r="BEH178" s="33"/>
      <c r="BER178" s="33"/>
      <c r="BFB178" s="33"/>
      <c r="BFL178" s="33"/>
      <c r="BFV178" s="33"/>
      <c r="BGF178" s="33"/>
      <c r="BGP178" s="33"/>
      <c r="BGZ178" s="33"/>
      <c r="BHJ178" s="33"/>
      <c r="BHT178" s="33"/>
      <c r="BID178" s="33"/>
      <c r="BIN178" s="33"/>
      <c r="BIX178" s="33"/>
      <c r="BJH178" s="33"/>
      <c r="BJR178" s="33"/>
      <c r="BKB178" s="33"/>
      <c r="BKL178" s="33"/>
      <c r="BKV178" s="33"/>
      <c r="BLF178" s="33"/>
      <c r="BLP178" s="33"/>
      <c r="BLZ178" s="33"/>
      <c r="BMJ178" s="33"/>
      <c r="BMT178" s="33"/>
      <c r="BND178" s="33"/>
      <c r="BNN178" s="33"/>
      <c r="BNX178" s="33"/>
      <c r="BOH178" s="33"/>
      <c r="BOR178" s="33"/>
      <c r="BPB178" s="33"/>
      <c r="BPL178" s="33"/>
      <c r="BPV178" s="33"/>
      <c r="BQF178" s="33"/>
      <c r="BQP178" s="33"/>
      <c r="BQZ178" s="33"/>
      <c r="BRJ178" s="33"/>
      <c r="BRT178" s="33"/>
      <c r="BSD178" s="33"/>
      <c r="BSN178" s="33"/>
      <c r="BSX178" s="33"/>
      <c r="BTH178" s="33"/>
      <c r="BTR178" s="33"/>
      <c r="BUB178" s="33"/>
      <c r="BUL178" s="33"/>
      <c r="BUV178" s="33"/>
      <c r="BVF178" s="33"/>
      <c r="BVP178" s="33"/>
      <c r="BVZ178" s="33"/>
      <c r="BWJ178" s="33"/>
      <c r="BWT178" s="33"/>
      <c r="BXD178" s="33"/>
      <c r="BXN178" s="33"/>
      <c r="BXX178" s="33"/>
      <c r="BYH178" s="33"/>
      <c r="BYR178" s="33"/>
      <c r="BZB178" s="33"/>
      <c r="BZL178" s="33"/>
      <c r="BZV178" s="33"/>
      <c r="CAF178" s="33"/>
      <c r="CAP178" s="33"/>
      <c r="CAZ178" s="33"/>
      <c r="CBJ178" s="33"/>
      <c r="CBT178" s="33"/>
      <c r="CCD178" s="33"/>
      <c r="CCN178" s="33"/>
      <c r="CCX178" s="33"/>
      <c r="CDH178" s="33"/>
      <c r="CDR178" s="33"/>
      <c r="CEB178" s="33"/>
      <c r="CEL178" s="33"/>
      <c r="CEV178" s="33"/>
      <c r="CFF178" s="33"/>
      <c r="CFP178" s="33"/>
      <c r="CFZ178" s="33"/>
      <c r="CGJ178" s="33"/>
      <c r="CGT178" s="33"/>
      <c r="CHD178" s="33"/>
      <c r="CHN178" s="33"/>
      <c r="CHX178" s="33"/>
      <c r="CIH178" s="33"/>
      <c r="CIR178" s="33"/>
      <c r="CJB178" s="33"/>
      <c r="CJL178" s="33"/>
      <c r="CJV178" s="33"/>
      <c r="CKF178" s="33"/>
      <c r="CKP178" s="33"/>
      <c r="CKZ178" s="33"/>
      <c r="CLJ178" s="33"/>
      <c r="CLT178" s="33"/>
      <c r="CMD178" s="33"/>
      <c r="CMN178" s="33"/>
      <c r="CMX178" s="33"/>
      <c r="CNH178" s="33"/>
      <c r="CNR178" s="33"/>
      <c r="COB178" s="33"/>
      <c r="COL178" s="33"/>
      <c r="COV178" s="33"/>
      <c r="CPF178" s="33"/>
      <c r="CPP178" s="33"/>
      <c r="CPZ178" s="33"/>
      <c r="CQJ178" s="33"/>
      <c r="CQT178" s="33"/>
      <c r="CRD178" s="33"/>
      <c r="CRN178" s="33"/>
      <c r="CRX178" s="33"/>
      <c r="CSH178" s="33"/>
      <c r="CSR178" s="33"/>
      <c r="CTB178" s="33"/>
      <c r="CTL178" s="33"/>
      <c r="CTV178" s="33"/>
    </row>
    <row r="179" s="16" customFormat="1" customHeight="1" spans="1:1020 1030:2040 2050:2570">
      <c r="A179" s="57"/>
      <c r="B179" s="52"/>
      <c r="C179" s="52"/>
      <c r="D179" s="52"/>
      <c r="E179" s="52"/>
      <c r="F179" s="58" t="str">
        <f>IFERROR(VLOOKUP(E179,日报!E:G,2,0),"")</f>
        <v/>
      </c>
      <c r="G179" s="52"/>
      <c r="H179" s="53" t="str">
        <f>IFERROR(VLOOKUP(E179,基础数据!$E$4:$H$4,4,0),"")</f>
        <v/>
      </c>
      <c r="I179" s="53" t="str">
        <f>IFERROR(VLOOKUP(E179,基础数据!$E$4:$H$4,3,0),"")</f>
        <v/>
      </c>
      <c r="J179" s="52"/>
      <c r="K179" s="54" t="str">
        <f t="shared" si="2"/>
        <v/>
      </c>
      <c r="T179" s="33"/>
      <c r="AD179" s="33"/>
      <c r="AN179" s="33"/>
      <c r="AX179" s="33"/>
      <c r="BH179" s="33"/>
      <c r="BR179" s="33"/>
      <c r="CB179" s="33"/>
      <c r="CL179" s="33"/>
      <c r="CV179" s="33"/>
      <c r="DF179" s="33"/>
      <c r="DP179" s="33"/>
      <c r="DZ179" s="33"/>
      <c r="EJ179" s="33"/>
      <c r="ET179" s="33"/>
      <c r="FD179" s="33"/>
      <c r="FN179" s="33"/>
      <c r="FX179" s="33"/>
      <c r="GH179" s="33"/>
      <c r="GR179" s="33"/>
      <c r="HB179" s="33"/>
      <c r="HL179" s="33"/>
      <c r="HV179" s="33"/>
      <c r="IF179" s="33"/>
      <c r="IP179" s="33"/>
      <c r="IZ179" s="33"/>
      <c r="JJ179" s="33"/>
      <c r="JT179" s="33"/>
      <c r="KD179" s="33"/>
      <c r="KN179" s="33"/>
      <c r="KX179" s="33"/>
      <c r="LH179" s="33"/>
      <c r="LR179" s="33"/>
      <c r="MB179" s="33"/>
      <c r="ML179" s="33"/>
      <c r="MV179" s="33"/>
      <c r="NF179" s="33"/>
      <c r="NP179" s="33"/>
      <c r="NZ179" s="33"/>
      <c r="OJ179" s="33"/>
      <c r="OT179" s="33"/>
      <c r="PD179" s="33"/>
      <c r="PN179" s="33"/>
      <c r="PX179" s="33"/>
      <c r="QH179" s="33"/>
      <c r="QR179" s="33"/>
      <c r="RB179" s="33"/>
      <c r="RL179" s="33"/>
      <c r="RV179" s="33"/>
      <c r="SF179" s="33"/>
      <c r="SP179" s="33"/>
      <c r="SZ179" s="33"/>
      <c r="TJ179" s="33"/>
      <c r="TT179" s="33"/>
      <c r="UD179" s="33"/>
      <c r="UN179" s="33"/>
      <c r="UX179" s="33"/>
      <c r="VH179" s="33"/>
      <c r="VR179" s="33"/>
      <c r="WB179" s="33"/>
      <c r="WL179" s="33"/>
      <c r="WV179" s="33"/>
      <c r="XF179" s="33"/>
      <c r="XP179" s="33"/>
      <c r="XZ179" s="33"/>
      <c r="YJ179" s="33"/>
      <c r="YT179" s="33"/>
      <c r="ZD179" s="33"/>
      <c r="ZN179" s="33"/>
      <c r="ZX179" s="33"/>
      <c r="AAH179" s="33"/>
      <c r="AAR179" s="33"/>
      <c r="ABB179" s="33"/>
      <c r="ABL179" s="33"/>
      <c r="ABV179" s="33"/>
      <c r="ACF179" s="33"/>
      <c r="ACP179" s="33"/>
      <c r="ACZ179" s="33"/>
      <c r="ADJ179" s="33"/>
      <c r="ADT179" s="33"/>
      <c r="AED179" s="33"/>
      <c r="AEN179" s="33"/>
      <c r="AEX179" s="33"/>
      <c r="AFH179" s="33"/>
      <c r="AFR179" s="33"/>
      <c r="AGB179" s="33"/>
      <c r="AGL179" s="33"/>
      <c r="AGV179" s="33"/>
      <c r="AHF179" s="33"/>
      <c r="AHP179" s="33"/>
      <c r="AHZ179" s="33"/>
      <c r="AIJ179" s="33"/>
      <c r="AIT179" s="33"/>
      <c r="AJD179" s="33"/>
      <c r="AJN179" s="33"/>
      <c r="AJX179" s="33"/>
      <c r="AKH179" s="33"/>
      <c r="AKR179" s="33"/>
      <c r="ALB179" s="33"/>
      <c r="ALL179" s="33"/>
      <c r="ALV179" s="33"/>
      <c r="AMF179" s="33"/>
      <c r="AMP179" s="33"/>
      <c r="AMZ179" s="33"/>
      <c r="ANJ179" s="33"/>
      <c r="ANT179" s="33"/>
      <c r="AOD179" s="33"/>
      <c r="AON179" s="33"/>
      <c r="AOX179" s="33"/>
      <c r="APH179" s="33"/>
      <c r="APR179" s="33"/>
      <c r="AQB179" s="33"/>
      <c r="AQL179" s="33"/>
      <c r="AQV179" s="33"/>
      <c r="ARF179" s="33"/>
      <c r="ARP179" s="33"/>
      <c r="ARZ179" s="33"/>
      <c r="ASJ179" s="33"/>
      <c r="AST179" s="33"/>
      <c r="ATD179" s="33"/>
      <c r="ATN179" s="33"/>
      <c r="ATX179" s="33"/>
      <c r="AUH179" s="33"/>
      <c r="AUR179" s="33"/>
      <c r="AVB179" s="33"/>
      <c r="AVL179" s="33"/>
      <c r="AVV179" s="33"/>
      <c r="AWF179" s="33"/>
      <c r="AWP179" s="33"/>
      <c r="AWZ179" s="33"/>
      <c r="AXJ179" s="33"/>
      <c r="AXT179" s="33"/>
      <c r="AYD179" s="33"/>
      <c r="AYN179" s="33"/>
      <c r="AYX179" s="33"/>
      <c r="AZH179" s="33"/>
      <c r="AZR179" s="33"/>
      <c r="BAB179" s="33"/>
      <c r="BAL179" s="33"/>
      <c r="BAV179" s="33"/>
      <c r="BBF179" s="33"/>
      <c r="BBP179" s="33"/>
      <c r="BBZ179" s="33"/>
      <c r="BCJ179" s="33"/>
      <c r="BCT179" s="33"/>
      <c r="BDD179" s="33"/>
      <c r="BDN179" s="33"/>
      <c r="BDX179" s="33"/>
      <c r="BEH179" s="33"/>
      <c r="BER179" s="33"/>
      <c r="BFB179" s="33"/>
      <c r="BFL179" s="33"/>
      <c r="BFV179" s="33"/>
      <c r="BGF179" s="33"/>
      <c r="BGP179" s="33"/>
      <c r="BGZ179" s="33"/>
      <c r="BHJ179" s="33"/>
      <c r="BHT179" s="33"/>
      <c r="BID179" s="33"/>
      <c r="BIN179" s="33"/>
      <c r="BIX179" s="33"/>
      <c r="BJH179" s="33"/>
      <c r="BJR179" s="33"/>
      <c r="BKB179" s="33"/>
      <c r="BKL179" s="33"/>
      <c r="BKV179" s="33"/>
      <c r="BLF179" s="33"/>
      <c r="BLP179" s="33"/>
      <c r="BLZ179" s="33"/>
      <c r="BMJ179" s="33"/>
      <c r="BMT179" s="33"/>
      <c r="BND179" s="33"/>
      <c r="BNN179" s="33"/>
      <c r="BNX179" s="33"/>
      <c r="BOH179" s="33"/>
      <c r="BOR179" s="33"/>
      <c r="BPB179" s="33"/>
      <c r="BPL179" s="33"/>
      <c r="BPV179" s="33"/>
      <c r="BQF179" s="33"/>
      <c r="BQP179" s="33"/>
      <c r="BQZ179" s="33"/>
      <c r="BRJ179" s="33"/>
      <c r="BRT179" s="33"/>
      <c r="BSD179" s="33"/>
      <c r="BSN179" s="33"/>
      <c r="BSX179" s="33"/>
      <c r="BTH179" s="33"/>
      <c r="BTR179" s="33"/>
      <c r="BUB179" s="33"/>
      <c r="BUL179" s="33"/>
      <c r="BUV179" s="33"/>
      <c r="BVF179" s="33"/>
      <c r="BVP179" s="33"/>
      <c r="BVZ179" s="33"/>
      <c r="BWJ179" s="33"/>
      <c r="BWT179" s="33"/>
      <c r="BXD179" s="33"/>
      <c r="BXN179" s="33"/>
      <c r="BXX179" s="33"/>
      <c r="BYH179" s="33"/>
      <c r="BYR179" s="33"/>
      <c r="BZB179" s="33"/>
      <c r="BZL179" s="33"/>
      <c r="BZV179" s="33"/>
      <c r="CAF179" s="33"/>
      <c r="CAP179" s="33"/>
      <c r="CAZ179" s="33"/>
      <c r="CBJ179" s="33"/>
      <c r="CBT179" s="33"/>
      <c r="CCD179" s="33"/>
      <c r="CCN179" s="33"/>
      <c r="CCX179" s="33"/>
      <c r="CDH179" s="33"/>
      <c r="CDR179" s="33"/>
      <c r="CEB179" s="33"/>
      <c r="CEL179" s="33"/>
      <c r="CEV179" s="33"/>
      <c r="CFF179" s="33"/>
      <c r="CFP179" s="33"/>
      <c r="CFZ179" s="33"/>
      <c r="CGJ179" s="33"/>
      <c r="CGT179" s="33"/>
      <c r="CHD179" s="33"/>
      <c r="CHN179" s="33"/>
      <c r="CHX179" s="33"/>
      <c r="CIH179" s="33"/>
      <c r="CIR179" s="33"/>
      <c r="CJB179" s="33"/>
      <c r="CJL179" s="33"/>
      <c r="CJV179" s="33"/>
      <c r="CKF179" s="33"/>
      <c r="CKP179" s="33"/>
      <c r="CKZ179" s="33"/>
      <c r="CLJ179" s="33"/>
      <c r="CLT179" s="33"/>
      <c r="CMD179" s="33"/>
      <c r="CMN179" s="33"/>
      <c r="CMX179" s="33"/>
      <c r="CNH179" s="33"/>
      <c r="CNR179" s="33"/>
      <c r="COB179" s="33"/>
      <c r="COL179" s="33"/>
      <c r="COV179" s="33"/>
      <c r="CPF179" s="33"/>
      <c r="CPP179" s="33"/>
      <c r="CPZ179" s="33"/>
      <c r="CQJ179" s="33"/>
      <c r="CQT179" s="33"/>
      <c r="CRD179" s="33"/>
      <c r="CRN179" s="33"/>
      <c r="CRX179" s="33"/>
      <c r="CSH179" s="33"/>
      <c r="CSR179" s="33"/>
      <c r="CTB179" s="33"/>
      <c r="CTL179" s="33"/>
      <c r="CTV179" s="33"/>
    </row>
    <row r="180" s="16" customFormat="1" customHeight="1" spans="1:1020 1030:2040 2050:2570">
      <c r="A180" s="57"/>
      <c r="B180" s="52"/>
      <c r="C180" s="52"/>
      <c r="D180" s="52"/>
      <c r="E180" s="52"/>
      <c r="F180" s="58" t="str">
        <f>IFERROR(VLOOKUP(E180,日报!E:G,2,0),"")</f>
        <v/>
      </c>
      <c r="G180" s="52"/>
      <c r="H180" s="53" t="str">
        <f>IFERROR(VLOOKUP(E180,基础数据!$E$4:$H$4,4,0),"")</f>
        <v/>
      </c>
      <c r="I180" s="53" t="str">
        <f>IFERROR(VLOOKUP(E180,基础数据!$E$4:$H$4,3,0),"")</f>
        <v/>
      </c>
      <c r="J180" s="52"/>
      <c r="K180" s="54" t="str">
        <f t="shared" si="2"/>
        <v/>
      </c>
      <c r="T180" s="33"/>
      <c r="AD180" s="33"/>
      <c r="AN180" s="33"/>
      <c r="AX180" s="33"/>
      <c r="BH180" s="33"/>
      <c r="BR180" s="33"/>
      <c r="CB180" s="33"/>
      <c r="CL180" s="33"/>
      <c r="CV180" s="33"/>
      <c r="DF180" s="33"/>
      <c r="DP180" s="33"/>
      <c r="DZ180" s="33"/>
      <c r="EJ180" s="33"/>
      <c r="ET180" s="33"/>
      <c r="FD180" s="33"/>
      <c r="FN180" s="33"/>
      <c r="FX180" s="33"/>
      <c r="GH180" s="33"/>
      <c r="GR180" s="33"/>
      <c r="HB180" s="33"/>
      <c r="HL180" s="33"/>
      <c r="HV180" s="33"/>
      <c r="IF180" s="33"/>
      <c r="IP180" s="33"/>
      <c r="IZ180" s="33"/>
      <c r="JJ180" s="33"/>
      <c r="JT180" s="33"/>
      <c r="KD180" s="33"/>
      <c r="KN180" s="33"/>
      <c r="KX180" s="33"/>
      <c r="LH180" s="33"/>
      <c r="LR180" s="33"/>
      <c r="MB180" s="33"/>
      <c r="ML180" s="33"/>
      <c r="MV180" s="33"/>
      <c r="NF180" s="33"/>
      <c r="NP180" s="33"/>
      <c r="NZ180" s="33"/>
      <c r="OJ180" s="33"/>
      <c r="OT180" s="33"/>
      <c r="PD180" s="33"/>
      <c r="PN180" s="33"/>
      <c r="PX180" s="33"/>
      <c r="QH180" s="33"/>
      <c r="QR180" s="33"/>
      <c r="RB180" s="33"/>
      <c r="RL180" s="33"/>
      <c r="RV180" s="33"/>
      <c r="SF180" s="33"/>
      <c r="SP180" s="33"/>
      <c r="SZ180" s="33"/>
      <c r="TJ180" s="33"/>
      <c r="TT180" s="33"/>
      <c r="UD180" s="33"/>
      <c r="UN180" s="33"/>
      <c r="UX180" s="33"/>
      <c r="VH180" s="33"/>
      <c r="VR180" s="33"/>
      <c r="WB180" s="33"/>
      <c r="WL180" s="33"/>
      <c r="WV180" s="33"/>
      <c r="XF180" s="33"/>
      <c r="XP180" s="33"/>
      <c r="XZ180" s="33"/>
      <c r="YJ180" s="33"/>
      <c r="YT180" s="33"/>
      <c r="ZD180" s="33"/>
      <c r="ZN180" s="33"/>
      <c r="ZX180" s="33"/>
      <c r="AAH180" s="33"/>
      <c r="AAR180" s="33"/>
      <c r="ABB180" s="33"/>
      <c r="ABL180" s="33"/>
      <c r="ABV180" s="33"/>
      <c r="ACF180" s="33"/>
      <c r="ACP180" s="33"/>
      <c r="ACZ180" s="33"/>
      <c r="ADJ180" s="33"/>
      <c r="ADT180" s="33"/>
      <c r="AED180" s="33"/>
      <c r="AEN180" s="33"/>
      <c r="AEX180" s="33"/>
      <c r="AFH180" s="33"/>
      <c r="AFR180" s="33"/>
      <c r="AGB180" s="33"/>
      <c r="AGL180" s="33"/>
      <c r="AGV180" s="33"/>
      <c r="AHF180" s="33"/>
      <c r="AHP180" s="33"/>
      <c r="AHZ180" s="33"/>
      <c r="AIJ180" s="33"/>
      <c r="AIT180" s="33"/>
      <c r="AJD180" s="33"/>
      <c r="AJN180" s="33"/>
      <c r="AJX180" s="33"/>
      <c r="AKH180" s="33"/>
      <c r="AKR180" s="33"/>
      <c r="ALB180" s="33"/>
      <c r="ALL180" s="33"/>
      <c r="ALV180" s="33"/>
      <c r="AMF180" s="33"/>
      <c r="AMP180" s="33"/>
      <c r="AMZ180" s="33"/>
      <c r="ANJ180" s="33"/>
      <c r="ANT180" s="33"/>
      <c r="AOD180" s="33"/>
      <c r="AON180" s="33"/>
      <c r="AOX180" s="33"/>
      <c r="APH180" s="33"/>
      <c r="APR180" s="33"/>
      <c r="AQB180" s="33"/>
      <c r="AQL180" s="33"/>
      <c r="AQV180" s="33"/>
      <c r="ARF180" s="33"/>
      <c r="ARP180" s="33"/>
      <c r="ARZ180" s="33"/>
      <c r="ASJ180" s="33"/>
      <c r="AST180" s="33"/>
      <c r="ATD180" s="33"/>
      <c r="ATN180" s="33"/>
      <c r="ATX180" s="33"/>
      <c r="AUH180" s="33"/>
      <c r="AUR180" s="33"/>
      <c r="AVB180" s="33"/>
      <c r="AVL180" s="33"/>
      <c r="AVV180" s="33"/>
      <c r="AWF180" s="33"/>
      <c r="AWP180" s="33"/>
      <c r="AWZ180" s="33"/>
      <c r="AXJ180" s="33"/>
      <c r="AXT180" s="33"/>
      <c r="AYD180" s="33"/>
      <c r="AYN180" s="33"/>
      <c r="AYX180" s="33"/>
      <c r="AZH180" s="33"/>
      <c r="AZR180" s="33"/>
      <c r="BAB180" s="33"/>
      <c r="BAL180" s="33"/>
      <c r="BAV180" s="33"/>
      <c r="BBF180" s="33"/>
      <c r="BBP180" s="33"/>
      <c r="BBZ180" s="33"/>
      <c r="BCJ180" s="33"/>
      <c r="BCT180" s="33"/>
      <c r="BDD180" s="33"/>
      <c r="BDN180" s="33"/>
      <c r="BDX180" s="33"/>
      <c r="BEH180" s="33"/>
      <c r="BER180" s="33"/>
      <c r="BFB180" s="33"/>
      <c r="BFL180" s="33"/>
      <c r="BFV180" s="33"/>
      <c r="BGF180" s="33"/>
      <c r="BGP180" s="33"/>
      <c r="BGZ180" s="33"/>
      <c r="BHJ180" s="33"/>
      <c r="BHT180" s="33"/>
      <c r="BID180" s="33"/>
      <c r="BIN180" s="33"/>
      <c r="BIX180" s="33"/>
      <c r="BJH180" s="33"/>
      <c r="BJR180" s="33"/>
      <c r="BKB180" s="33"/>
      <c r="BKL180" s="33"/>
      <c r="BKV180" s="33"/>
      <c r="BLF180" s="33"/>
      <c r="BLP180" s="33"/>
      <c r="BLZ180" s="33"/>
      <c r="BMJ180" s="33"/>
      <c r="BMT180" s="33"/>
      <c r="BND180" s="33"/>
      <c r="BNN180" s="33"/>
      <c r="BNX180" s="33"/>
      <c r="BOH180" s="33"/>
      <c r="BOR180" s="33"/>
      <c r="BPB180" s="33"/>
      <c r="BPL180" s="33"/>
      <c r="BPV180" s="33"/>
      <c r="BQF180" s="33"/>
      <c r="BQP180" s="33"/>
      <c r="BQZ180" s="33"/>
      <c r="BRJ180" s="33"/>
      <c r="BRT180" s="33"/>
      <c r="BSD180" s="33"/>
      <c r="BSN180" s="33"/>
      <c r="BSX180" s="33"/>
      <c r="BTH180" s="33"/>
      <c r="BTR180" s="33"/>
      <c r="BUB180" s="33"/>
      <c r="BUL180" s="33"/>
      <c r="BUV180" s="33"/>
      <c r="BVF180" s="33"/>
      <c r="BVP180" s="33"/>
      <c r="BVZ180" s="33"/>
      <c r="BWJ180" s="33"/>
      <c r="BWT180" s="33"/>
      <c r="BXD180" s="33"/>
      <c r="BXN180" s="33"/>
      <c r="BXX180" s="33"/>
      <c r="BYH180" s="33"/>
      <c r="BYR180" s="33"/>
      <c r="BZB180" s="33"/>
      <c r="BZL180" s="33"/>
      <c r="BZV180" s="33"/>
      <c r="CAF180" s="33"/>
      <c r="CAP180" s="33"/>
      <c r="CAZ180" s="33"/>
      <c r="CBJ180" s="33"/>
      <c r="CBT180" s="33"/>
      <c r="CCD180" s="33"/>
      <c r="CCN180" s="33"/>
      <c r="CCX180" s="33"/>
      <c r="CDH180" s="33"/>
      <c r="CDR180" s="33"/>
      <c r="CEB180" s="33"/>
      <c r="CEL180" s="33"/>
      <c r="CEV180" s="33"/>
      <c r="CFF180" s="33"/>
      <c r="CFP180" s="33"/>
      <c r="CFZ180" s="33"/>
      <c r="CGJ180" s="33"/>
      <c r="CGT180" s="33"/>
      <c r="CHD180" s="33"/>
      <c r="CHN180" s="33"/>
      <c r="CHX180" s="33"/>
      <c r="CIH180" s="33"/>
      <c r="CIR180" s="33"/>
      <c r="CJB180" s="33"/>
      <c r="CJL180" s="33"/>
      <c r="CJV180" s="33"/>
      <c r="CKF180" s="33"/>
      <c r="CKP180" s="33"/>
      <c r="CKZ180" s="33"/>
      <c r="CLJ180" s="33"/>
      <c r="CLT180" s="33"/>
      <c r="CMD180" s="33"/>
      <c r="CMN180" s="33"/>
      <c r="CMX180" s="33"/>
      <c r="CNH180" s="33"/>
      <c r="CNR180" s="33"/>
      <c r="COB180" s="33"/>
      <c r="COL180" s="33"/>
      <c r="COV180" s="33"/>
      <c r="CPF180" s="33"/>
      <c r="CPP180" s="33"/>
      <c r="CPZ180" s="33"/>
      <c r="CQJ180" s="33"/>
      <c r="CQT180" s="33"/>
      <c r="CRD180" s="33"/>
      <c r="CRN180" s="33"/>
      <c r="CRX180" s="33"/>
      <c r="CSH180" s="33"/>
      <c r="CSR180" s="33"/>
      <c r="CTB180" s="33"/>
      <c r="CTL180" s="33"/>
      <c r="CTV180" s="33"/>
    </row>
    <row r="181" s="16" customFormat="1" customHeight="1" spans="1:1020 1030:2040 2050:2570">
      <c r="A181" s="57"/>
      <c r="B181" s="52"/>
      <c r="C181" s="52"/>
      <c r="D181" s="52"/>
      <c r="E181" s="52"/>
      <c r="F181" s="58" t="str">
        <f>IFERROR(VLOOKUP(E181,日报!E:G,2,0),"")</f>
        <v/>
      </c>
      <c r="G181" s="52"/>
      <c r="H181" s="53" t="str">
        <f>IFERROR(VLOOKUP(E181,基础数据!$E$4:$H$4,4,0),"")</f>
        <v/>
      </c>
      <c r="I181" s="53" t="str">
        <f>IFERROR(VLOOKUP(E181,基础数据!$E$4:$H$4,3,0),"")</f>
        <v/>
      </c>
      <c r="J181" s="52"/>
      <c r="K181" s="54" t="str">
        <f t="shared" si="2"/>
        <v/>
      </c>
      <c r="T181" s="33"/>
      <c r="AD181" s="33"/>
      <c r="AN181" s="33"/>
      <c r="AX181" s="33"/>
      <c r="BH181" s="33"/>
      <c r="BR181" s="33"/>
      <c r="CB181" s="33"/>
      <c r="CL181" s="33"/>
      <c r="CV181" s="33"/>
      <c r="DF181" s="33"/>
      <c r="DP181" s="33"/>
      <c r="DZ181" s="33"/>
      <c r="EJ181" s="33"/>
      <c r="ET181" s="33"/>
      <c r="FD181" s="33"/>
      <c r="FN181" s="33"/>
      <c r="FX181" s="33"/>
      <c r="GH181" s="33"/>
      <c r="GR181" s="33"/>
      <c r="HB181" s="33"/>
      <c r="HL181" s="33"/>
      <c r="HV181" s="33"/>
      <c r="IF181" s="33"/>
      <c r="IP181" s="33"/>
      <c r="IZ181" s="33"/>
      <c r="JJ181" s="33"/>
      <c r="JT181" s="33"/>
      <c r="KD181" s="33"/>
      <c r="KN181" s="33"/>
      <c r="KX181" s="33"/>
      <c r="LH181" s="33"/>
      <c r="LR181" s="33"/>
      <c r="MB181" s="33"/>
      <c r="ML181" s="33"/>
      <c r="MV181" s="33"/>
      <c r="NF181" s="33"/>
      <c r="NP181" s="33"/>
      <c r="NZ181" s="33"/>
      <c r="OJ181" s="33"/>
      <c r="OT181" s="33"/>
      <c r="PD181" s="33"/>
      <c r="PN181" s="33"/>
      <c r="PX181" s="33"/>
      <c r="QH181" s="33"/>
      <c r="QR181" s="33"/>
      <c r="RB181" s="33"/>
      <c r="RL181" s="33"/>
      <c r="RV181" s="33"/>
      <c r="SF181" s="33"/>
      <c r="SP181" s="33"/>
      <c r="SZ181" s="33"/>
      <c r="TJ181" s="33"/>
      <c r="TT181" s="33"/>
      <c r="UD181" s="33"/>
      <c r="UN181" s="33"/>
      <c r="UX181" s="33"/>
      <c r="VH181" s="33"/>
      <c r="VR181" s="33"/>
      <c r="WB181" s="33"/>
      <c r="WL181" s="33"/>
      <c r="WV181" s="33"/>
      <c r="XF181" s="33"/>
      <c r="XP181" s="33"/>
      <c r="XZ181" s="33"/>
      <c r="YJ181" s="33"/>
      <c r="YT181" s="33"/>
      <c r="ZD181" s="33"/>
      <c r="ZN181" s="33"/>
      <c r="ZX181" s="33"/>
      <c r="AAH181" s="33"/>
      <c r="AAR181" s="33"/>
      <c r="ABB181" s="33"/>
      <c r="ABL181" s="33"/>
      <c r="ABV181" s="33"/>
      <c r="ACF181" s="33"/>
      <c r="ACP181" s="33"/>
      <c r="ACZ181" s="33"/>
      <c r="ADJ181" s="33"/>
      <c r="ADT181" s="33"/>
      <c r="AED181" s="33"/>
      <c r="AEN181" s="33"/>
      <c r="AEX181" s="33"/>
      <c r="AFH181" s="33"/>
      <c r="AFR181" s="33"/>
      <c r="AGB181" s="33"/>
      <c r="AGL181" s="33"/>
      <c r="AGV181" s="33"/>
      <c r="AHF181" s="33"/>
      <c r="AHP181" s="33"/>
      <c r="AHZ181" s="33"/>
      <c r="AIJ181" s="33"/>
      <c r="AIT181" s="33"/>
      <c r="AJD181" s="33"/>
      <c r="AJN181" s="33"/>
      <c r="AJX181" s="33"/>
      <c r="AKH181" s="33"/>
      <c r="AKR181" s="33"/>
      <c r="ALB181" s="33"/>
      <c r="ALL181" s="33"/>
      <c r="ALV181" s="33"/>
      <c r="AMF181" s="33"/>
      <c r="AMP181" s="33"/>
      <c r="AMZ181" s="33"/>
      <c r="ANJ181" s="33"/>
      <c r="ANT181" s="33"/>
      <c r="AOD181" s="33"/>
      <c r="AON181" s="33"/>
      <c r="AOX181" s="33"/>
      <c r="APH181" s="33"/>
      <c r="APR181" s="33"/>
      <c r="AQB181" s="33"/>
      <c r="AQL181" s="33"/>
      <c r="AQV181" s="33"/>
      <c r="ARF181" s="33"/>
      <c r="ARP181" s="33"/>
      <c r="ARZ181" s="33"/>
      <c r="ASJ181" s="33"/>
      <c r="AST181" s="33"/>
      <c r="ATD181" s="33"/>
      <c r="ATN181" s="33"/>
      <c r="ATX181" s="33"/>
      <c r="AUH181" s="33"/>
      <c r="AUR181" s="33"/>
      <c r="AVB181" s="33"/>
      <c r="AVL181" s="33"/>
      <c r="AVV181" s="33"/>
      <c r="AWF181" s="33"/>
      <c r="AWP181" s="33"/>
      <c r="AWZ181" s="33"/>
      <c r="AXJ181" s="33"/>
      <c r="AXT181" s="33"/>
      <c r="AYD181" s="33"/>
      <c r="AYN181" s="33"/>
      <c r="AYX181" s="33"/>
      <c r="AZH181" s="33"/>
      <c r="AZR181" s="33"/>
      <c r="BAB181" s="33"/>
      <c r="BAL181" s="33"/>
      <c r="BAV181" s="33"/>
      <c r="BBF181" s="33"/>
      <c r="BBP181" s="33"/>
      <c r="BBZ181" s="33"/>
      <c r="BCJ181" s="33"/>
      <c r="BCT181" s="33"/>
      <c r="BDD181" s="33"/>
      <c r="BDN181" s="33"/>
      <c r="BDX181" s="33"/>
      <c r="BEH181" s="33"/>
      <c r="BER181" s="33"/>
      <c r="BFB181" s="33"/>
      <c r="BFL181" s="33"/>
      <c r="BFV181" s="33"/>
      <c r="BGF181" s="33"/>
      <c r="BGP181" s="33"/>
      <c r="BGZ181" s="33"/>
      <c r="BHJ181" s="33"/>
      <c r="BHT181" s="33"/>
      <c r="BID181" s="33"/>
      <c r="BIN181" s="33"/>
      <c r="BIX181" s="33"/>
      <c r="BJH181" s="33"/>
      <c r="BJR181" s="33"/>
      <c r="BKB181" s="33"/>
      <c r="BKL181" s="33"/>
      <c r="BKV181" s="33"/>
      <c r="BLF181" s="33"/>
      <c r="BLP181" s="33"/>
      <c r="BLZ181" s="33"/>
      <c r="BMJ181" s="33"/>
      <c r="BMT181" s="33"/>
      <c r="BND181" s="33"/>
      <c r="BNN181" s="33"/>
      <c r="BNX181" s="33"/>
      <c r="BOH181" s="33"/>
      <c r="BOR181" s="33"/>
      <c r="BPB181" s="33"/>
      <c r="BPL181" s="33"/>
      <c r="BPV181" s="33"/>
      <c r="BQF181" s="33"/>
      <c r="BQP181" s="33"/>
      <c r="BQZ181" s="33"/>
      <c r="BRJ181" s="33"/>
      <c r="BRT181" s="33"/>
      <c r="BSD181" s="33"/>
      <c r="BSN181" s="33"/>
      <c r="BSX181" s="33"/>
      <c r="BTH181" s="33"/>
      <c r="BTR181" s="33"/>
      <c r="BUB181" s="33"/>
      <c r="BUL181" s="33"/>
      <c r="BUV181" s="33"/>
      <c r="BVF181" s="33"/>
      <c r="BVP181" s="33"/>
      <c r="BVZ181" s="33"/>
      <c r="BWJ181" s="33"/>
      <c r="BWT181" s="33"/>
      <c r="BXD181" s="33"/>
      <c r="BXN181" s="33"/>
      <c r="BXX181" s="33"/>
      <c r="BYH181" s="33"/>
      <c r="BYR181" s="33"/>
      <c r="BZB181" s="33"/>
      <c r="BZL181" s="33"/>
      <c r="BZV181" s="33"/>
      <c r="CAF181" s="33"/>
      <c r="CAP181" s="33"/>
      <c r="CAZ181" s="33"/>
      <c r="CBJ181" s="33"/>
      <c r="CBT181" s="33"/>
      <c r="CCD181" s="33"/>
      <c r="CCN181" s="33"/>
      <c r="CCX181" s="33"/>
      <c r="CDH181" s="33"/>
      <c r="CDR181" s="33"/>
      <c r="CEB181" s="33"/>
      <c r="CEL181" s="33"/>
      <c r="CEV181" s="33"/>
      <c r="CFF181" s="33"/>
      <c r="CFP181" s="33"/>
      <c r="CFZ181" s="33"/>
      <c r="CGJ181" s="33"/>
      <c r="CGT181" s="33"/>
      <c r="CHD181" s="33"/>
      <c r="CHN181" s="33"/>
      <c r="CHX181" s="33"/>
      <c r="CIH181" s="33"/>
      <c r="CIR181" s="33"/>
      <c r="CJB181" s="33"/>
      <c r="CJL181" s="33"/>
      <c r="CJV181" s="33"/>
      <c r="CKF181" s="33"/>
      <c r="CKP181" s="33"/>
      <c r="CKZ181" s="33"/>
      <c r="CLJ181" s="33"/>
      <c r="CLT181" s="33"/>
      <c r="CMD181" s="33"/>
      <c r="CMN181" s="33"/>
      <c r="CMX181" s="33"/>
      <c r="CNH181" s="33"/>
      <c r="CNR181" s="33"/>
      <c r="COB181" s="33"/>
      <c r="COL181" s="33"/>
      <c r="COV181" s="33"/>
      <c r="CPF181" s="33"/>
      <c r="CPP181" s="33"/>
      <c r="CPZ181" s="33"/>
      <c r="CQJ181" s="33"/>
      <c r="CQT181" s="33"/>
      <c r="CRD181" s="33"/>
      <c r="CRN181" s="33"/>
      <c r="CRX181" s="33"/>
      <c r="CSH181" s="33"/>
      <c r="CSR181" s="33"/>
      <c r="CTB181" s="33"/>
      <c r="CTL181" s="33"/>
      <c r="CTV181" s="33"/>
    </row>
    <row r="182" s="16" customFormat="1" customHeight="1" spans="1:1020 1030:2040 2050:2570">
      <c r="A182" s="57"/>
      <c r="B182" s="52"/>
      <c r="C182" s="52"/>
      <c r="D182" s="52"/>
      <c r="E182" s="52"/>
      <c r="F182" s="58" t="str">
        <f>IFERROR(VLOOKUP(E182,日报!E:G,2,0),"")</f>
        <v/>
      </c>
      <c r="G182" s="52"/>
      <c r="H182" s="53" t="str">
        <f>IFERROR(VLOOKUP(E182,基础数据!$E$4:$H$4,4,0),"")</f>
        <v/>
      </c>
      <c r="I182" s="53" t="str">
        <f>IFERROR(VLOOKUP(E182,基础数据!$E$4:$H$4,3,0),"")</f>
        <v/>
      </c>
      <c r="J182" s="52"/>
      <c r="K182" s="54" t="str">
        <f t="shared" si="2"/>
        <v/>
      </c>
      <c r="T182" s="33"/>
      <c r="AD182" s="33"/>
      <c r="AN182" s="33"/>
      <c r="AX182" s="33"/>
      <c r="BH182" s="33"/>
      <c r="BR182" s="33"/>
      <c r="CB182" s="33"/>
      <c r="CL182" s="33"/>
      <c r="CV182" s="33"/>
      <c r="DF182" s="33"/>
      <c r="DP182" s="33"/>
      <c r="DZ182" s="33"/>
      <c r="EJ182" s="33"/>
      <c r="ET182" s="33"/>
      <c r="FD182" s="33"/>
      <c r="FN182" s="33"/>
      <c r="FX182" s="33"/>
      <c r="GH182" s="33"/>
      <c r="GR182" s="33"/>
      <c r="HB182" s="33"/>
      <c r="HL182" s="33"/>
      <c r="HV182" s="33"/>
      <c r="IF182" s="33"/>
      <c r="IP182" s="33"/>
      <c r="IZ182" s="33"/>
      <c r="JJ182" s="33"/>
      <c r="JT182" s="33"/>
      <c r="KD182" s="33"/>
      <c r="KN182" s="33"/>
      <c r="KX182" s="33"/>
      <c r="LH182" s="33"/>
      <c r="LR182" s="33"/>
      <c r="MB182" s="33"/>
      <c r="ML182" s="33"/>
      <c r="MV182" s="33"/>
      <c r="NF182" s="33"/>
      <c r="NP182" s="33"/>
      <c r="NZ182" s="33"/>
      <c r="OJ182" s="33"/>
      <c r="OT182" s="33"/>
      <c r="PD182" s="33"/>
      <c r="PN182" s="33"/>
      <c r="PX182" s="33"/>
      <c r="QH182" s="33"/>
      <c r="QR182" s="33"/>
      <c r="RB182" s="33"/>
      <c r="RL182" s="33"/>
      <c r="RV182" s="33"/>
      <c r="SF182" s="33"/>
      <c r="SP182" s="33"/>
      <c r="SZ182" s="33"/>
      <c r="TJ182" s="33"/>
      <c r="TT182" s="33"/>
      <c r="UD182" s="33"/>
      <c r="UN182" s="33"/>
      <c r="UX182" s="33"/>
      <c r="VH182" s="33"/>
      <c r="VR182" s="33"/>
      <c r="WB182" s="33"/>
      <c r="WL182" s="33"/>
      <c r="WV182" s="33"/>
      <c r="XF182" s="33"/>
      <c r="XP182" s="33"/>
      <c r="XZ182" s="33"/>
      <c r="YJ182" s="33"/>
      <c r="YT182" s="33"/>
      <c r="ZD182" s="33"/>
      <c r="ZN182" s="33"/>
      <c r="ZX182" s="33"/>
      <c r="AAH182" s="33"/>
      <c r="AAR182" s="33"/>
      <c r="ABB182" s="33"/>
      <c r="ABL182" s="33"/>
      <c r="ABV182" s="33"/>
      <c r="ACF182" s="33"/>
      <c r="ACP182" s="33"/>
      <c r="ACZ182" s="33"/>
      <c r="ADJ182" s="33"/>
      <c r="ADT182" s="33"/>
      <c r="AED182" s="33"/>
      <c r="AEN182" s="33"/>
      <c r="AEX182" s="33"/>
      <c r="AFH182" s="33"/>
      <c r="AFR182" s="33"/>
      <c r="AGB182" s="33"/>
      <c r="AGL182" s="33"/>
      <c r="AGV182" s="33"/>
      <c r="AHF182" s="33"/>
      <c r="AHP182" s="33"/>
      <c r="AHZ182" s="33"/>
      <c r="AIJ182" s="33"/>
      <c r="AIT182" s="33"/>
      <c r="AJD182" s="33"/>
      <c r="AJN182" s="33"/>
      <c r="AJX182" s="33"/>
      <c r="AKH182" s="33"/>
      <c r="AKR182" s="33"/>
      <c r="ALB182" s="33"/>
      <c r="ALL182" s="33"/>
      <c r="ALV182" s="33"/>
      <c r="AMF182" s="33"/>
      <c r="AMP182" s="33"/>
      <c r="AMZ182" s="33"/>
      <c r="ANJ182" s="33"/>
      <c r="ANT182" s="33"/>
      <c r="AOD182" s="33"/>
      <c r="AON182" s="33"/>
      <c r="AOX182" s="33"/>
      <c r="APH182" s="33"/>
      <c r="APR182" s="33"/>
      <c r="AQB182" s="33"/>
      <c r="AQL182" s="33"/>
      <c r="AQV182" s="33"/>
      <c r="ARF182" s="33"/>
      <c r="ARP182" s="33"/>
      <c r="ARZ182" s="33"/>
      <c r="ASJ182" s="33"/>
      <c r="AST182" s="33"/>
      <c r="ATD182" s="33"/>
      <c r="ATN182" s="33"/>
      <c r="ATX182" s="33"/>
      <c r="AUH182" s="33"/>
      <c r="AUR182" s="33"/>
      <c r="AVB182" s="33"/>
      <c r="AVL182" s="33"/>
      <c r="AVV182" s="33"/>
      <c r="AWF182" s="33"/>
      <c r="AWP182" s="33"/>
      <c r="AWZ182" s="33"/>
      <c r="AXJ182" s="33"/>
      <c r="AXT182" s="33"/>
      <c r="AYD182" s="33"/>
      <c r="AYN182" s="33"/>
      <c r="AYX182" s="33"/>
      <c r="AZH182" s="33"/>
      <c r="AZR182" s="33"/>
      <c r="BAB182" s="33"/>
      <c r="BAL182" s="33"/>
      <c r="BAV182" s="33"/>
      <c r="BBF182" s="33"/>
      <c r="BBP182" s="33"/>
      <c r="BBZ182" s="33"/>
      <c r="BCJ182" s="33"/>
      <c r="BCT182" s="33"/>
      <c r="BDD182" s="33"/>
      <c r="BDN182" s="33"/>
      <c r="BDX182" s="33"/>
      <c r="BEH182" s="33"/>
      <c r="BER182" s="33"/>
      <c r="BFB182" s="33"/>
      <c r="BFL182" s="33"/>
      <c r="BFV182" s="33"/>
      <c r="BGF182" s="33"/>
      <c r="BGP182" s="33"/>
      <c r="BGZ182" s="33"/>
      <c r="BHJ182" s="33"/>
      <c r="BHT182" s="33"/>
      <c r="BID182" s="33"/>
      <c r="BIN182" s="33"/>
      <c r="BIX182" s="33"/>
      <c r="BJH182" s="33"/>
      <c r="BJR182" s="33"/>
      <c r="BKB182" s="33"/>
      <c r="BKL182" s="33"/>
      <c r="BKV182" s="33"/>
      <c r="BLF182" s="33"/>
      <c r="BLP182" s="33"/>
      <c r="BLZ182" s="33"/>
      <c r="BMJ182" s="33"/>
      <c r="BMT182" s="33"/>
      <c r="BND182" s="33"/>
      <c r="BNN182" s="33"/>
      <c r="BNX182" s="33"/>
      <c r="BOH182" s="33"/>
      <c r="BOR182" s="33"/>
      <c r="BPB182" s="33"/>
      <c r="BPL182" s="33"/>
      <c r="BPV182" s="33"/>
      <c r="BQF182" s="33"/>
      <c r="BQP182" s="33"/>
      <c r="BQZ182" s="33"/>
      <c r="BRJ182" s="33"/>
      <c r="BRT182" s="33"/>
      <c r="BSD182" s="33"/>
      <c r="BSN182" s="33"/>
      <c r="BSX182" s="33"/>
      <c r="BTH182" s="33"/>
      <c r="BTR182" s="33"/>
      <c r="BUB182" s="33"/>
      <c r="BUL182" s="33"/>
      <c r="BUV182" s="33"/>
      <c r="BVF182" s="33"/>
      <c r="BVP182" s="33"/>
      <c r="BVZ182" s="33"/>
      <c r="BWJ182" s="33"/>
      <c r="BWT182" s="33"/>
      <c r="BXD182" s="33"/>
      <c r="BXN182" s="33"/>
      <c r="BXX182" s="33"/>
      <c r="BYH182" s="33"/>
      <c r="BYR182" s="33"/>
      <c r="BZB182" s="33"/>
      <c r="BZL182" s="33"/>
      <c r="BZV182" s="33"/>
      <c r="CAF182" s="33"/>
      <c r="CAP182" s="33"/>
      <c r="CAZ182" s="33"/>
      <c r="CBJ182" s="33"/>
      <c r="CBT182" s="33"/>
      <c r="CCD182" s="33"/>
      <c r="CCN182" s="33"/>
      <c r="CCX182" s="33"/>
      <c r="CDH182" s="33"/>
      <c r="CDR182" s="33"/>
      <c r="CEB182" s="33"/>
      <c r="CEL182" s="33"/>
      <c r="CEV182" s="33"/>
      <c r="CFF182" s="33"/>
      <c r="CFP182" s="33"/>
      <c r="CFZ182" s="33"/>
      <c r="CGJ182" s="33"/>
      <c r="CGT182" s="33"/>
      <c r="CHD182" s="33"/>
      <c r="CHN182" s="33"/>
      <c r="CHX182" s="33"/>
      <c r="CIH182" s="33"/>
      <c r="CIR182" s="33"/>
      <c r="CJB182" s="33"/>
      <c r="CJL182" s="33"/>
      <c r="CJV182" s="33"/>
      <c r="CKF182" s="33"/>
      <c r="CKP182" s="33"/>
      <c r="CKZ182" s="33"/>
      <c r="CLJ182" s="33"/>
      <c r="CLT182" s="33"/>
      <c r="CMD182" s="33"/>
      <c r="CMN182" s="33"/>
      <c r="CMX182" s="33"/>
      <c r="CNH182" s="33"/>
      <c r="CNR182" s="33"/>
      <c r="COB182" s="33"/>
      <c r="COL182" s="33"/>
      <c r="COV182" s="33"/>
      <c r="CPF182" s="33"/>
      <c r="CPP182" s="33"/>
      <c r="CPZ182" s="33"/>
      <c r="CQJ182" s="33"/>
      <c r="CQT182" s="33"/>
      <c r="CRD182" s="33"/>
      <c r="CRN182" s="33"/>
      <c r="CRX182" s="33"/>
      <c r="CSH182" s="33"/>
      <c r="CSR182" s="33"/>
      <c r="CTB182" s="33"/>
      <c r="CTL182" s="33"/>
      <c r="CTV182" s="33"/>
    </row>
    <row r="183" s="16" customFormat="1" customHeight="1" spans="1:1020 1030:2040 2050:2570">
      <c r="A183" s="57"/>
      <c r="B183" s="52"/>
      <c r="C183" s="52"/>
      <c r="D183" s="52"/>
      <c r="E183" s="52"/>
      <c r="F183" s="58" t="str">
        <f>IFERROR(VLOOKUP(E183,日报!E:G,2,0),"")</f>
        <v/>
      </c>
      <c r="G183" s="52"/>
      <c r="H183" s="53" t="str">
        <f>IFERROR(VLOOKUP(E183,基础数据!$E$4:$H$4,4,0),"")</f>
        <v/>
      </c>
      <c r="I183" s="53" t="str">
        <f>IFERROR(VLOOKUP(E183,基础数据!$E$4:$H$4,3,0),"")</f>
        <v/>
      </c>
      <c r="J183" s="52"/>
      <c r="K183" s="54" t="str">
        <f t="shared" si="2"/>
        <v/>
      </c>
      <c r="T183" s="33"/>
      <c r="AD183" s="33"/>
      <c r="AN183" s="33"/>
      <c r="AX183" s="33"/>
      <c r="BH183" s="33"/>
      <c r="BR183" s="33"/>
      <c r="CB183" s="33"/>
      <c r="CL183" s="33"/>
      <c r="CV183" s="33"/>
      <c r="DF183" s="33"/>
      <c r="DP183" s="33"/>
      <c r="DZ183" s="33"/>
      <c r="EJ183" s="33"/>
      <c r="ET183" s="33"/>
      <c r="FD183" s="33"/>
      <c r="FN183" s="33"/>
      <c r="FX183" s="33"/>
      <c r="GH183" s="33"/>
      <c r="GR183" s="33"/>
      <c r="HB183" s="33"/>
      <c r="HL183" s="33"/>
      <c r="HV183" s="33"/>
      <c r="IF183" s="33"/>
      <c r="IP183" s="33"/>
      <c r="IZ183" s="33"/>
      <c r="JJ183" s="33"/>
      <c r="JT183" s="33"/>
      <c r="KD183" s="33"/>
      <c r="KN183" s="33"/>
      <c r="KX183" s="33"/>
      <c r="LH183" s="33"/>
      <c r="LR183" s="33"/>
      <c r="MB183" s="33"/>
      <c r="ML183" s="33"/>
      <c r="MV183" s="33"/>
      <c r="NF183" s="33"/>
      <c r="NP183" s="33"/>
      <c r="NZ183" s="33"/>
      <c r="OJ183" s="33"/>
      <c r="OT183" s="33"/>
      <c r="PD183" s="33"/>
      <c r="PN183" s="33"/>
      <c r="PX183" s="33"/>
      <c r="QH183" s="33"/>
      <c r="QR183" s="33"/>
      <c r="RB183" s="33"/>
      <c r="RL183" s="33"/>
      <c r="RV183" s="33"/>
      <c r="SF183" s="33"/>
      <c r="SP183" s="33"/>
      <c r="SZ183" s="33"/>
      <c r="TJ183" s="33"/>
      <c r="TT183" s="33"/>
      <c r="UD183" s="33"/>
      <c r="UN183" s="33"/>
      <c r="UX183" s="33"/>
      <c r="VH183" s="33"/>
      <c r="VR183" s="33"/>
      <c r="WB183" s="33"/>
      <c r="WL183" s="33"/>
      <c r="WV183" s="33"/>
      <c r="XF183" s="33"/>
      <c r="XP183" s="33"/>
      <c r="XZ183" s="33"/>
      <c r="YJ183" s="33"/>
      <c r="YT183" s="33"/>
      <c r="ZD183" s="33"/>
      <c r="ZN183" s="33"/>
      <c r="ZX183" s="33"/>
      <c r="AAH183" s="33"/>
      <c r="AAR183" s="33"/>
      <c r="ABB183" s="33"/>
      <c r="ABL183" s="33"/>
      <c r="ABV183" s="33"/>
      <c r="ACF183" s="33"/>
      <c r="ACP183" s="33"/>
      <c r="ACZ183" s="33"/>
      <c r="ADJ183" s="33"/>
      <c r="ADT183" s="33"/>
      <c r="AED183" s="33"/>
      <c r="AEN183" s="33"/>
      <c r="AEX183" s="33"/>
      <c r="AFH183" s="33"/>
      <c r="AFR183" s="33"/>
      <c r="AGB183" s="33"/>
      <c r="AGL183" s="33"/>
      <c r="AGV183" s="33"/>
      <c r="AHF183" s="33"/>
      <c r="AHP183" s="33"/>
      <c r="AHZ183" s="33"/>
      <c r="AIJ183" s="33"/>
      <c r="AIT183" s="33"/>
      <c r="AJD183" s="33"/>
      <c r="AJN183" s="33"/>
      <c r="AJX183" s="33"/>
      <c r="AKH183" s="33"/>
      <c r="AKR183" s="33"/>
      <c r="ALB183" s="33"/>
      <c r="ALL183" s="33"/>
      <c r="ALV183" s="33"/>
      <c r="AMF183" s="33"/>
      <c r="AMP183" s="33"/>
      <c r="AMZ183" s="33"/>
      <c r="ANJ183" s="33"/>
      <c r="ANT183" s="33"/>
      <c r="AOD183" s="33"/>
      <c r="AON183" s="33"/>
      <c r="AOX183" s="33"/>
      <c r="APH183" s="33"/>
      <c r="APR183" s="33"/>
      <c r="AQB183" s="33"/>
      <c r="AQL183" s="33"/>
      <c r="AQV183" s="33"/>
      <c r="ARF183" s="33"/>
      <c r="ARP183" s="33"/>
      <c r="ARZ183" s="33"/>
      <c r="ASJ183" s="33"/>
      <c r="AST183" s="33"/>
      <c r="ATD183" s="33"/>
      <c r="ATN183" s="33"/>
      <c r="ATX183" s="33"/>
      <c r="AUH183" s="33"/>
      <c r="AUR183" s="33"/>
      <c r="AVB183" s="33"/>
      <c r="AVL183" s="33"/>
      <c r="AVV183" s="33"/>
      <c r="AWF183" s="33"/>
      <c r="AWP183" s="33"/>
      <c r="AWZ183" s="33"/>
      <c r="AXJ183" s="33"/>
      <c r="AXT183" s="33"/>
      <c r="AYD183" s="33"/>
      <c r="AYN183" s="33"/>
      <c r="AYX183" s="33"/>
      <c r="AZH183" s="33"/>
      <c r="AZR183" s="33"/>
      <c r="BAB183" s="33"/>
      <c r="BAL183" s="33"/>
      <c r="BAV183" s="33"/>
      <c r="BBF183" s="33"/>
      <c r="BBP183" s="33"/>
      <c r="BBZ183" s="33"/>
      <c r="BCJ183" s="33"/>
      <c r="BCT183" s="33"/>
      <c r="BDD183" s="33"/>
      <c r="BDN183" s="33"/>
      <c r="BDX183" s="33"/>
      <c r="BEH183" s="33"/>
      <c r="BER183" s="33"/>
      <c r="BFB183" s="33"/>
      <c r="BFL183" s="33"/>
      <c r="BFV183" s="33"/>
      <c r="BGF183" s="33"/>
      <c r="BGP183" s="33"/>
      <c r="BGZ183" s="33"/>
      <c r="BHJ183" s="33"/>
      <c r="BHT183" s="33"/>
      <c r="BID183" s="33"/>
      <c r="BIN183" s="33"/>
      <c r="BIX183" s="33"/>
      <c r="BJH183" s="33"/>
      <c r="BJR183" s="33"/>
      <c r="BKB183" s="33"/>
      <c r="BKL183" s="33"/>
      <c r="BKV183" s="33"/>
      <c r="BLF183" s="33"/>
      <c r="BLP183" s="33"/>
      <c r="BLZ183" s="33"/>
      <c r="BMJ183" s="33"/>
      <c r="BMT183" s="33"/>
      <c r="BND183" s="33"/>
      <c r="BNN183" s="33"/>
      <c r="BNX183" s="33"/>
      <c r="BOH183" s="33"/>
      <c r="BOR183" s="33"/>
      <c r="BPB183" s="33"/>
      <c r="BPL183" s="33"/>
      <c r="BPV183" s="33"/>
      <c r="BQF183" s="33"/>
      <c r="BQP183" s="33"/>
      <c r="BQZ183" s="33"/>
      <c r="BRJ183" s="33"/>
      <c r="BRT183" s="33"/>
      <c r="BSD183" s="33"/>
      <c r="BSN183" s="33"/>
      <c r="BSX183" s="33"/>
      <c r="BTH183" s="33"/>
      <c r="BTR183" s="33"/>
      <c r="BUB183" s="33"/>
      <c r="BUL183" s="33"/>
      <c r="BUV183" s="33"/>
      <c r="BVF183" s="33"/>
      <c r="BVP183" s="33"/>
      <c r="BVZ183" s="33"/>
      <c r="BWJ183" s="33"/>
      <c r="BWT183" s="33"/>
      <c r="BXD183" s="33"/>
      <c r="BXN183" s="33"/>
      <c r="BXX183" s="33"/>
      <c r="BYH183" s="33"/>
      <c r="BYR183" s="33"/>
      <c r="BZB183" s="33"/>
      <c r="BZL183" s="33"/>
      <c r="BZV183" s="33"/>
      <c r="CAF183" s="33"/>
      <c r="CAP183" s="33"/>
      <c r="CAZ183" s="33"/>
      <c r="CBJ183" s="33"/>
      <c r="CBT183" s="33"/>
      <c r="CCD183" s="33"/>
      <c r="CCN183" s="33"/>
      <c r="CCX183" s="33"/>
      <c r="CDH183" s="33"/>
      <c r="CDR183" s="33"/>
      <c r="CEB183" s="33"/>
      <c r="CEL183" s="33"/>
      <c r="CEV183" s="33"/>
      <c r="CFF183" s="33"/>
      <c r="CFP183" s="33"/>
      <c r="CFZ183" s="33"/>
      <c r="CGJ183" s="33"/>
      <c r="CGT183" s="33"/>
      <c r="CHD183" s="33"/>
      <c r="CHN183" s="33"/>
      <c r="CHX183" s="33"/>
      <c r="CIH183" s="33"/>
      <c r="CIR183" s="33"/>
      <c r="CJB183" s="33"/>
      <c r="CJL183" s="33"/>
      <c r="CJV183" s="33"/>
      <c r="CKF183" s="33"/>
      <c r="CKP183" s="33"/>
      <c r="CKZ183" s="33"/>
      <c r="CLJ183" s="33"/>
      <c r="CLT183" s="33"/>
      <c r="CMD183" s="33"/>
      <c r="CMN183" s="33"/>
      <c r="CMX183" s="33"/>
      <c r="CNH183" s="33"/>
      <c r="CNR183" s="33"/>
      <c r="COB183" s="33"/>
      <c r="COL183" s="33"/>
      <c r="COV183" s="33"/>
      <c r="CPF183" s="33"/>
      <c r="CPP183" s="33"/>
      <c r="CPZ183" s="33"/>
      <c r="CQJ183" s="33"/>
      <c r="CQT183" s="33"/>
      <c r="CRD183" s="33"/>
      <c r="CRN183" s="33"/>
      <c r="CRX183" s="33"/>
      <c r="CSH183" s="33"/>
      <c r="CSR183" s="33"/>
      <c r="CTB183" s="33"/>
      <c r="CTL183" s="33"/>
      <c r="CTV183" s="33"/>
    </row>
    <row r="184" s="16" customFormat="1" customHeight="1" spans="1:1020 1030:2040 2050:2570">
      <c r="A184" s="57"/>
      <c r="B184" s="52"/>
      <c r="C184" s="52"/>
      <c r="D184" s="52"/>
      <c r="E184" s="52"/>
      <c r="F184" s="58" t="str">
        <f>IFERROR(VLOOKUP(E184,日报!E:G,2,0),"")</f>
        <v/>
      </c>
      <c r="G184" s="52"/>
      <c r="H184" s="53" t="str">
        <f>IFERROR(VLOOKUP(E184,基础数据!$E$4:$H$4,4,0),"")</f>
        <v/>
      </c>
      <c r="I184" s="53" t="str">
        <f>IFERROR(VLOOKUP(E184,基础数据!$E$4:$H$4,3,0),"")</f>
        <v/>
      </c>
      <c r="J184" s="52"/>
      <c r="K184" s="54" t="str">
        <f t="shared" ref="K184:K247" si="3">IFERROR(G184/I184,"")</f>
        <v/>
      </c>
      <c r="T184" s="33"/>
      <c r="AD184" s="33"/>
      <c r="AN184" s="33"/>
      <c r="AX184" s="33"/>
      <c r="BH184" s="33"/>
      <c r="BR184" s="33"/>
      <c r="CB184" s="33"/>
      <c r="CL184" s="33"/>
      <c r="CV184" s="33"/>
      <c r="DF184" s="33"/>
      <c r="DP184" s="33"/>
      <c r="DZ184" s="33"/>
      <c r="EJ184" s="33"/>
      <c r="ET184" s="33"/>
      <c r="FD184" s="33"/>
      <c r="FN184" s="33"/>
      <c r="FX184" s="33"/>
      <c r="GH184" s="33"/>
      <c r="GR184" s="33"/>
      <c r="HB184" s="33"/>
      <c r="HL184" s="33"/>
      <c r="HV184" s="33"/>
      <c r="IF184" s="33"/>
      <c r="IP184" s="33"/>
      <c r="IZ184" s="33"/>
      <c r="JJ184" s="33"/>
      <c r="JT184" s="33"/>
      <c r="KD184" s="33"/>
      <c r="KN184" s="33"/>
      <c r="KX184" s="33"/>
      <c r="LH184" s="33"/>
      <c r="LR184" s="33"/>
      <c r="MB184" s="33"/>
      <c r="ML184" s="33"/>
      <c r="MV184" s="33"/>
      <c r="NF184" s="33"/>
      <c r="NP184" s="33"/>
      <c r="NZ184" s="33"/>
      <c r="OJ184" s="33"/>
      <c r="OT184" s="33"/>
      <c r="PD184" s="33"/>
      <c r="PN184" s="33"/>
      <c r="PX184" s="33"/>
      <c r="QH184" s="33"/>
      <c r="QR184" s="33"/>
      <c r="RB184" s="33"/>
      <c r="RL184" s="33"/>
      <c r="RV184" s="33"/>
      <c r="SF184" s="33"/>
      <c r="SP184" s="33"/>
      <c r="SZ184" s="33"/>
      <c r="TJ184" s="33"/>
      <c r="TT184" s="33"/>
      <c r="UD184" s="33"/>
      <c r="UN184" s="33"/>
      <c r="UX184" s="33"/>
      <c r="VH184" s="33"/>
      <c r="VR184" s="33"/>
      <c r="WB184" s="33"/>
      <c r="WL184" s="33"/>
      <c r="WV184" s="33"/>
      <c r="XF184" s="33"/>
      <c r="XP184" s="33"/>
      <c r="XZ184" s="33"/>
      <c r="YJ184" s="33"/>
      <c r="YT184" s="33"/>
      <c r="ZD184" s="33"/>
      <c r="ZN184" s="33"/>
      <c r="ZX184" s="33"/>
      <c r="AAH184" s="33"/>
      <c r="AAR184" s="33"/>
      <c r="ABB184" s="33"/>
      <c r="ABL184" s="33"/>
      <c r="ABV184" s="33"/>
      <c r="ACF184" s="33"/>
      <c r="ACP184" s="33"/>
      <c r="ACZ184" s="33"/>
      <c r="ADJ184" s="33"/>
      <c r="ADT184" s="33"/>
      <c r="AED184" s="33"/>
      <c r="AEN184" s="33"/>
      <c r="AEX184" s="33"/>
      <c r="AFH184" s="33"/>
      <c r="AFR184" s="33"/>
      <c r="AGB184" s="33"/>
      <c r="AGL184" s="33"/>
      <c r="AGV184" s="33"/>
      <c r="AHF184" s="33"/>
      <c r="AHP184" s="33"/>
      <c r="AHZ184" s="33"/>
      <c r="AIJ184" s="33"/>
      <c r="AIT184" s="33"/>
      <c r="AJD184" s="33"/>
      <c r="AJN184" s="33"/>
      <c r="AJX184" s="33"/>
      <c r="AKH184" s="33"/>
      <c r="AKR184" s="33"/>
      <c r="ALB184" s="33"/>
      <c r="ALL184" s="33"/>
      <c r="ALV184" s="33"/>
      <c r="AMF184" s="33"/>
      <c r="AMP184" s="33"/>
      <c r="AMZ184" s="33"/>
      <c r="ANJ184" s="33"/>
      <c r="ANT184" s="33"/>
      <c r="AOD184" s="33"/>
      <c r="AON184" s="33"/>
      <c r="AOX184" s="33"/>
      <c r="APH184" s="33"/>
      <c r="APR184" s="33"/>
      <c r="AQB184" s="33"/>
      <c r="AQL184" s="33"/>
      <c r="AQV184" s="33"/>
      <c r="ARF184" s="33"/>
      <c r="ARP184" s="33"/>
      <c r="ARZ184" s="33"/>
      <c r="ASJ184" s="33"/>
      <c r="AST184" s="33"/>
      <c r="ATD184" s="33"/>
      <c r="ATN184" s="33"/>
      <c r="ATX184" s="33"/>
      <c r="AUH184" s="33"/>
      <c r="AUR184" s="33"/>
      <c r="AVB184" s="33"/>
      <c r="AVL184" s="33"/>
      <c r="AVV184" s="33"/>
      <c r="AWF184" s="33"/>
      <c r="AWP184" s="33"/>
      <c r="AWZ184" s="33"/>
      <c r="AXJ184" s="33"/>
      <c r="AXT184" s="33"/>
      <c r="AYD184" s="33"/>
      <c r="AYN184" s="33"/>
      <c r="AYX184" s="33"/>
      <c r="AZH184" s="33"/>
      <c r="AZR184" s="33"/>
      <c r="BAB184" s="33"/>
      <c r="BAL184" s="33"/>
      <c r="BAV184" s="33"/>
      <c r="BBF184" s="33"/>
      <c r="BBP184" s="33"/>
      <c r="BBZ184" s="33"/>
      <c r="BCJ184" s="33"/>
      <c r="BCT184" s="33"/>
      <c r="BDD184" s="33"/>
      <c r="BDN184" s="33"/>
      <c r="BDX184" s="33"/>
      <c r="BEH184" s="33"/>
      <c r="BER184" s="33"/>
      <c r="BFB184" s="33"/>
      <c r="BFL184" s="33"/>
      <c r="BFV184" s="33"/>
      <c r="BGF184" s="33"/>
      <c r="BGP184" s="33"/>
      <c r="BGZ184" s="33"/>
      <c r="BHJ184" s="33"/>
      <c r="BHT184" s="33"/>
      <c r="BID184" s="33"/>
      <c r="BIN184" s="33"/>
      <c r="BIX184" s="33"/>
      <c r="BJH184" s="33"/>
      <c r="BJR184" s="33"/>
      <c r="BKB184" s="33"/>
      <c r="BKL184" s="33"/>
      <c r="BKV184" s="33"/>
      <c r="BLF184" s="33"/>
      <c r="BLP184" s="33"/>
      <c r="BLZ184" s="33"/>
      <c r="BMJ184" s="33"/>
      <c r="BMT184" s="33"/>
      <c r="BND184" s="33"/>
      <c r="BNN184" s="33"/>
      <c r="BNX184" s="33"/>
      <c r="BOH184" s="33"/>
      <c r="BOR184" s="33"/>
      <c r="BPB184" s="33"/>
      <c r="BPL184" s="33"/>
      <c r="BPV184" s="33"/>
      <c r="BQF184" s="33"/>
      <c r="BQP184" s="33"/>
      <c r="BQZ184" s="33"/>
      <c r="BRJ184" s="33"/>
      <c r="BRT184" s="33"/>
      <c r="BSD184" s="33"/>
      <c r="BSN184" s="33"/>
      <c r="BSX184" s="33"/>
      <c r="BTH184" s="33"/>
      <c r="BTR184" s="33"/>
      <c r="BUB184" s="33"/>
      <c r="BUL184" s="33"/>
      <c r="BUV184" s="33"/>
      <c r="BVF184" s="33"/>
      <c r="BVP184" s="33"/>
      <c r="BVZ184" s="33"/>
      <c r="BWJ184" s="33"/>
      <c r="BWT184" s="33"/>
      <c r="BXD184" s="33"/>
      <c r="BXN184" s="33"/>
      <c r="BXX184" s="33"/>
      <c r="BYH184" s="33"/>
      <c r="BYR184" s="33"/>
      <c r="BZB184" s="33"/>
      <c r="BZL184" s="33"/>
      <c r="BZV184" s="33"/>
      <c r="CAF184" s="33"/>
      <c r="CAP184" s="33"/>
      <c r="CAZ184" s="33"/>
      <c r="CBJ184" s="33"/>
      <c r="CBT184" s="33"/>
      <c r="CCD184" s="33"/>
      <c r="CCN184" s="33"/>
      <c r="CCX184" s="33"/>
      <c r="CDH184" s="33"/>
      <c r="CDR184" s="33"/>
      <c r="CEB184" s="33"/>
      <c r="CEL184" s="33"/>
      <c r="CEV184" s="33"/>
      <c r="CFF184" s="33"/>
      <c r="CFP184" s="33"/>
      <c r="CFZ184" s="33"/>
      <c r="CGJ184" s="33"/>
      <c r="CGT184" s="33"/>
      <c r="CHD184" s="33"/>
      <c r="CHN184" s="33"/>
      <c r="CHX184" s="33"/>
      <c r="CIH184" s="33"/>
      <c r="CIR184" s="33"/>
      <c r="CJB184" s="33"/>
      <c r="CJL184" s="33"/>
      <c r="CJV184" s="33"/>
      <c r="CKF184" s="33"/>
      <c r="CKP184" s="33"/>
      <c r="CKZ184" s="33"/>
      <c r="CLJ184" s="33"/>
      <c r="CLT184" s="33"/>
      <c r="CMD184" s="33"/>
      <c r="CMN184" s="33"/>
      <c r="CMX184" s="33"/>
      <c r="CNH184" s="33"/>
      <c r="CNR184" s="33"/>
      <c r="COB184" s="33"/>
      <c r="COL184" s="33"/>
      <c r="COV184" s="33"/>
      <c r="CPF184" s="33"/>
      <c r="CPP184" s="33"/>
      <c r="CPZ184" s="33"/>
      <c r="CQJ184" s="33"/>
      <c r="CQT184" s="33"/>
      <c r="CRD184" s="33"/>
      <c r="CRN184" s="33"/>
      <c r="CRX184" s="33"/>
      <c r="CSH184" s="33"/>
      <c r="CSR184" s="33"/>
      <c r="CTB184" s="33"/>
      <c r="CTL184" s="33"/>
      <c r="CTV184" s="33"/>
    </row>
    <row r="185" s="16" customFormat="1" customHeight="1" spans="1:1020 1030:2040 2050:2570">
      <c r="A185" s="57"/>
      <c r="B185" s="52"/>
      <c r="C185" s="52"/>
      <c r="D185" s="52"/>
      <c r="E185" s="52"/>
      <c r="F185" s="58" t="str">
        <f>IFERROR(VLOOKUP(E185,日报!E:G,2,0),"")</f>
        <v/>
      </c>
      <c r="G185" s="52"/>
      <c r="H185" s="53" t="str">
        <f>IFERROR(VLOOKUP(E185,基础数据!$E$4:$H$4,4,0),"")</f>
        <v/>
      </c>
      <c r="I185" s="53" t="str">
        <f>IFERROR(VLOOKUP(E185,基础数据!$E$4:$H$4,3,0),"")</f>
        <v/>
      </c>
      <c r="J185" s="52"/>
      <c r="K185" s="54" t="str">
        <f t="shared" si="3"/>
        <v/>
      </c>
      <c r="T185" s="33"/>
      <c r="AD185" s="33"/>
      <c r="AN185" s="33"/>
      <c r="AX185" s="33"/>
      <c r="BH185" s="33"/>
      <c r="BR185" s="33"/>
      <c r="CB185" s="33"/>
      <c r="CL185" s="33"/>
      <c r="CV185" s="33"/>
      <c r="DF185" s="33"/>
      <c r="DP185" s="33"/>
      <c r="DZ185" s="33"/>
      <c r="EJ185" s="33"/>
      <c r="ET185" s="33"/>
      <c r="FD185" s="33"/>
      <c r="FN185" s="33"/>
      <c r="FX185" s="33"/>
      <c r="GH185" s="33"/>
      <c r="GR185" s="33"/>
      <c r="HB185" s="33"/>
      <c r="HL185" s="33"/>
      <c r="HV185" s="33"/>
      <c r="IF185" s="33"/>
      <c r="IP185" s="33"/>
      <c r="IZ185" s="33"/>
      <c r="JJ185" s="33"/>
      <c r="JT185" s="33"/>
      <c r="KD185" s="33"/>
      <c r="KN185" s="33"/>
      <c r="KX185" s="33"/>
      <c r="LH185" s="33"/>
      <c r="LR185" s="33"/>
      <c r="MB185" s="33"/>
      <c r="ML185" s="33"/>
      <c r="MV185" s="33"/>
      <c r="NF185" s="33"/>
      <c r="NP185" s="33"/>
      <c r="NZ185" s="33"/>
      <c r="OJ185" s="33"/>
      <c r="OT185" s="33"/>
      <c r="PD185" s="33"/>
      <c r="PN185" s="33"/>
      <c r="PX185" s="33"/>
      <c r="QH185" s="33"/>
      <c r="QR185" s="33"/>
      <c r="RB185" s="33"/>
      <c r="RL185" s="33"/>
      <c r="RV185" s="33"/>
      <c r="SF185" s="33"/>
      <c r="SP185" s="33"/>
      <c r="SZ185" s="33"/>
      <c r="TJ185" s="33"/>
      <c r="TT185" s="33"/>
      <c r="UD185" s="33"/>
      <c r="UN185" s="33"/>
      <c r="UX185" s="33"/>
      <c r="VH185" s="33"/>
      <c r="VR185" s="33"/>
      <c r="WB185" s="33"/>
      <c r="WL185" s="33"/>
      <c r="WV185" s="33"/>
      <c r="XF185" s="33"/>
      <c r="XP185" s="33"/>
      <c r="XZ185" s="33"/>
      <c r="YJ185" s="33"/>
      <c r="YT185" s="33"/>
      <c r="ZD185" s="33"/>
      <c r="ZN185" s="33"/>
      <c r="ZX185" s="33"/>
      <c r="AAH185" s="33"/>
      <c r="AAR185" s="33"/>
      <c r="ABB185" s="33"/>
      <c r="ABL185" s="33"/>
      <c r="ABV185" s="33"/>
      <c r="ACF185" s="33"/>
      <c r="ACP185" s="33"/>
      <c r="ACZ185" s="33"/>
      <c r="ADJ185" s="33"/>
      <c r="ADT185" s="33"/>
      <c r="AED185" s="33"/>
      <c r="AEN185" s="33"/>
      <c r="AEX185" s="33"/>
      <c r="AFH185" s="33"/>
      <c r="AFR185" s="33"/>
      <c r="AGB185" s="33"/>
      <c r="AGL185" s="33"/>
      <c r="AGV185" s="33"/>
      <c r="AHF185" s="33"/>
      <c r="AHP185" s="33"/>
      <c r="AHZ185" s="33"/>
      <c r="AIJ185" s="33"/>
      <c r="AIT185" s="33"/>
      <c r="AJD185" s="33"/>
      <c r="AJN185" s="33"/>
      <c r="AJX185" s="33"/>
      <c r="AKH185" s="33"/>
      <c r="AKR185" s="33"/>
      <c r="ALB185" s="33"/>
      <c r="ALL185" s="33"/>
      <c r="ALV185" s="33"/>
      <c r="AMF185" s="33"/>
      <c r="AMP185" s="33"/>
      <c r="AMZ185" s="33"/>
      <c r="ANJ185" s="33"/>
      <c r="ANT185" s="33"/>
      <c r="AOD185" s="33"/>
      <c r="AON185" s="33"/>
      <c r="AOX185" s="33"/>
      <c r="APH185" s="33"/>
      <c r="APR185" s="33"/>
      <c r="AQB185" s="33"/>
      <c r="AQL185" s="33"/>
      <c r="AQV185" s="33"/>
      <c r="ARF185" s="33"/>
      <c r="ARP185" s="33"/>
      <c r="ARZ185" s="33"/>
      <c r="ASJ185" s="33"/>
      <c r="AST185" s="33"/>
      <c r="ATD185" s="33"/>
      <c r="ATN185" s="33"/>
      <c r="ATX185" s="33"/>
      <c r="AUH185" s="33"/>
      <c r="AUR185" s="33"/>
      <c r="AVB185" s="33"/>
      <c r="AVL185" s="33"/>
      <c r="AVV185" s="33"/>
      <c r="AWF185" s="33"/>
      <c r="AWP185" s="33"/>
      <c r="AWZ185" s="33"/>
      <c r="AXJ185" s="33"/>
      <c r="AXT185" s="33"/>
      <c r="AYD185" s="33"/>
      <c r="AYN185" s="33"/>
      <c r="AYX185" s="33"/>
      <c r="AZH185" s="33"/>
      <c r="AZR185" s="33"/>
      <c r="BAB185" s="33"/>
      <c r="BAL185" s="33"/>
      <c r="BAV185" s="33"/>
      <c r="BBF185" s="33"/>
      <c r="BBP185" s="33"/>
      <c r="BBZ185" s="33"/>
      <c r="BCJ185" s="33"/>
      <c r="BCT185" s="33"/>
      <c r="BDD185" s="33"/>
      <c r="BDN185" s="33"/>
      <c r="BDX185" s="33"/>
      <c r="BEH185" s="33"/>
      <c r="BER185" s="33"/>
      <c r="BFB185" s="33"/>
      <c r="BFL185" s="33"/>
      <c r="BFV185" s="33"/>
      <c r="BGF185" s="33"/>
      <c r="BGP185" s="33"/>
      <c r="BGZ185" s="33"/>
      <c r="BHJ185" s="33"/>
      <c r="BHT185" s="33"/>
      <c r="BID185" s="33"/>
      <c r="BIN185" s="33"/>
      <c r="BIX185" s="33"/>
      <c r="BJH185" s="33"/>
      <c r="BJR185" s="33"/>
      <c r="BKB185" s="33"/>
      <c r="BKL185" s="33"/>
      <c r="BKV185" s="33"/>
      <c r="BLF185" s="33"/>
      <c r="BLP185" s="33"/>
      <c r="BLZ185" s="33"/>
      <c r="BMJ185" s="33"/>
      <c r="BMT185" s="33"/>
      <c r="BND185" s="33"/>
      <c r="BNN185" s="33"/>
      <c r="BNX185" s="33"/>
      <c r="BOH185" s="33"/>
      <c r="BOR185" s="33"/>
      <c r="BPB185" s="33"/>
      <c r="BPL185" s="33"/>
      <c r="BPV185" s="33"/>
      <c r="BQF185" s="33"/>
      <c r="BQP185" s="33"/>
      <c r="BQZ185" s="33"/>
      <c r="BRJ185" s="33"/>
      <c r="BRT185" s="33"/>
      <c r="BSD185" s="33"/>
      <c r="BSN185" s="33"/>
      <c r="BSX185" s="33"/>
      <c r="BTH185" s="33"/>
      <c r="BTR185" s="33"/>
      <c r="BUB185" s="33"/>
      <c r="BUL185" s="33"/>
      <c r="BUV185" s="33"/>
      <c r="BVF185" s="33"/>
      <c r="BVP185" s="33"/>
      <c r="BVZ185" s="33"/>
      <c r="BWJ185" s="33"/>
      <c r="BWT185" s="33"/>
      <c r="BXD185" s="33"/>
      <c r="BXN185" s="33"/>
      <c r="BXX185" s="33"/>
      <c r="BYH185" s="33"/>
      <c r="BYR185" s="33"/>
      <c r="BZB185" s="33"/>
      <c r="BZL185" s="33"/>
      <c r="BZV185" s="33"/>
      <c r="CAF185" s="33"/>
      <c r="CAP185" s="33"/>
      <c r="CAZ185" s="33"/>
      <c r="CBJ185" s="33"/>
      <c r="CBT185" s="33"/>
      <c r="CCD185" s="33"/>
      <c r="CCN185" s="33"/>
      <c r="CCX185" s="33"/>
      <c r="CDH185" s="33"/>
      <c r="CDR185" s="33"/>
      <c r="CEB185" s="33"/>
      <c r="CEL185" s="33"/>
      <c r="CEV185" s="33"/>
      <c r="CFF185" s="33"/>
      <c r="CFP185" s="33"/>
      <c r="CFZ185" s="33"/>
      <c r="CGJ185" s="33"/>
      <c r="CGT185" s="33"/>
      <c r="CHD185" s="33"/>
      <c r="CHN185" s="33"/>
      <c r="CHX185" s="33"/>
      <c r="CIH185" s="33"/>
      <c r="CIR185" s="33"/>
      <c r="CJB185" s="33"/>
      <c r="CJL185" s="33"/>
      <c r="CJV185" s="33"/>
      <c r="CKF185" s="33"/>
      <c r="CKP185" s="33"/>
      <c r="CKZ185" s="33"/>
      <c r="CLJ185" s="33"/>
      <c r="CLT185" s="33"/>
      <c r="CMD185" s="33"/>
      <c r="CMN185" s="33"/>
      <c r="CMX185" s="33"/>
      <c r="CNH185" s="33"/>
      <c r="CNR185" s="33"/>
      <c r="COB185" s="33"/>
      <c r="COL185" s="33"/>
      <c r="COV185" s="33"/>
      <c r="CPF185" s="33"/>
      <c r="CPP185" s="33"/>
      <c r="CPZ185" s="33"/>
      <c r="CQJ185" s="33"/>
      <c r="CQT185" s="33"/>
      <c r="CRD185" s="33"/>
      <c r="CRN185" s="33"/>
      <c r="CRX185" s="33"/>
      <c r="CSH185" s="33"/>
      <c r="CSR185" s="33"/>
      <c r="CTB185" s="33"/>
      <c r="CTL185" s="33"/>
      <c r="CTV185" s="33"/>
    </row>
    <row r="186" s="16" customFormat="1" customHeight="1" spans="1:1020 1030:2040 2050:2570">
      <c r="A186" s="57"/>
      <c r="B186" s="52"/>
      <c r="C186" s="52"/>
      <c r="D186" s="52"/>
      <c r="E186" s="52"/>
      <c r="F186" s="58" t="str">
        <f>IFERROR(VLOOKUP(E186,日报!E:G,2,0),"")</f>
        <v/>
      </c>
      <c r="G186" s="52"/>
      <c r="H186" s="53" t="str">
        <f>IFERROR(VLOOKUP(E186,基础数据!$E$4:$H$4,4,0),"")</f>
        <v/>
      </c>
      <c r="I186" s="53" t="str">
        <f>IFERROR(VLOOKUP(E186,基础数据!$E$4:$H$4,3,0),"")</f>
        <v/>
      </c>
      <c r="J186" s="52"/>
      <c r="K186" s="54" t="str">
        <f t="shared" si="3"/>
        <v/>
      </c>
      <c r="T186" s="33"/>
      <c r="AD186" s="33"/>
      <c r="AN186" s="33"/>
      <c r="AX186" s="33"/>
      <c r="BH186" s="33"/>
      <c r="BR186" s="33"/>
      <c r="CB186" s="33"/>
      <c r="CL186" s="33"/>
      <c r="CV186" s="33"/>
      <c r="DF186" s="33"/>
      <c r="DP186" s="33"/>
      <c r="DZ186" s="33"/>
      <c r="EJ186" s="33"/>
      <c r="ET186" s="33"/>
      <c r="FD186" s="33"/>
      <c r="FN186" s="33"/>
      <c r="FX186" s="33"/>
      <c r="GH186" s="33"/>
      <c r="GR186" s="33"/>
      <c r="HB186" s="33"/>
      <c r="HL186" s="33"/>
      <c r="HV186" s="33"/>
      <c r="IF186" s="33"/>
      <c r="IP186" s="33"/>
      <c r="IZ186" s="33"/>
      <c r="JJ186" s="33"/>
      <c r="JT186" s="33"/>
      <c r="KD186" s="33"/>
      <c r="KN186" s="33"/>
      <c r="KX186" s="33"/>
      <c r="LH186" s="33"/>
      <c r="LR186" s="33"/>
      <c r="MB186" s="33"/>
      <c r="ML186" s="33"/>
      <c r="MV186" s="33"/>
      <c r="NF186" s="33"/>
      <c r="NP186" s="33"/>
      <c r="NZ186" s="33"/>
      <c r="OJ186" s="33"/>
      <c r="OT186" s="33"/>
      <c r="PD186" s="33"/>
      <c r="PN186" s="33"/>
      <c r="PX186" s="33"/>
      <c r="QH186" s="33"/>
      <c r="QR186" s="33"/>
      <c r="RB186" s="33"/>
      <c r="RL186" s="33"/>
      <c r="RV186" s="33"/>
      <c r="SF186" s="33"/>
      <c r="SP186" s="33"/>
      <c r="SZ186" s="33"/>
      <c r="TJ186" s="33"/>
      <c r="TT186" s="33"/>
      <c r="UD186" s="33"/>
      <c r="UN186" s="33"/>
      <c r="UX186" s="33"/>
      <c r="VH186" s="33"/>
      <c r="VR186" s="33"/>
      <c r="WB186" s="33"/>
      <c r="WL186" s="33"/>
      <c r="WV186" s="33"/>
      <c r="XF186" s="33"/>
      <c r="XP186" s="33"/>
      <c r="XZ186" s="33"/>
      <c r="YJ186" s="33"/>
      <c r="YT186" s="33"/>
      <c r="ZD186" s="33"/>
      <c r="ZN186" s="33"/>
      <c r="ZX186" s="33"/>
      <c r="AAH186" s="33"/>
      <c r="AAR186" s="33"/>
      <c r="ABB186" s="33"/>
      <c r="ABL186" s="33"/>
      <c r="ABV186" s="33"/>
      <c r="ACF186" s="33"/>
      <c r="ACP186" s="33"/>
      <c r="ACZ186" s="33"/>
      <c r="ADJ186" s="33"/>
      <c r="ADT186" s="33"/>
      <c r="AED186" s="33"/>
      <c r="AEN186" s="33"/>
      <c r="AEX186" s="33"/>
      <c r="AFH186" s="33"/>
      <c r="AFR186" s="33"/>
      <c r="AGB186" s="33"/>
      <c r="AGL186" s="33"/>
      <c r="AGV186" s="33"/>
      <c r="AHF186" s="33"/>
      <c r="AHP186" s="33"/>
      <c r="AHZ186" s="33"/>
      <c r="AIJ186" s="33"/>
      <c r="AIT186" s="33"/>
      <c r="AJD186" s="33"/>
      <c r="AJN186" s="33"/>
      <c r="AJX186" s="33"/>
      <c r="AKH186" s="33"/>
      <c r="AKR186" s="33"/>
      <c r="ALB186" s="33"/>
      <c r="ALL186" s="33"/>
      <c r="ALV186" s="33"/>
      <c r="AMF186" s="33"/>
      <c r="AMP186" s="33"/>
      <c r="AMZ186" s="33"/>
      <c r="ANJ186" s="33"/>
      <c r="ANT186" s="33"/>
      <c r="AOD186" s="33"/>
      <c r="AON186" s="33"/>
      <c r="AOX186" s="33"/>
      <c r="APH186" s="33"/>
      <c r="APR186" s="33"/>
      <c r="AQB186" s="33"/>
      <c r="AQL186" s="33"/>
      <c r="AQV186" s="33"/>
      <c r="ARF186" s="33"/>
      <c r="ARP186" s="33"/>
      <c r="ARZ186" s="33"/>
      <c r="ASJ186" s="33"/>
      <c r="AST186" s="33"/>
      <c r="ATD186" s="33"/>
      <c r="ATN186" s="33"/>
      <c r="ATX186" s="33"/>
      <c r="AUH186" s="33"/>
      <c r="AUR186" s="33"/>
      <c r="AVB186" s="33"/>
      <c r="AVL186" s="33"/>
      <c r="AVV186" s="33"/>
      <c r="AWF186" s="33"/>
      <c r="AWP186" s="33"/>
      <c r="AWZ186" s="33"/>
      <c r="AXJ186" s="33"/>
      <c r="AXT186" s="33"/>
      <c r="AYD186" s="33"/>
      <c r="AYN186" s="33"/>
      <c r="AYX186" s="33"/>
      <c r="AZH186" s="33"/>
      <c r="AZR186" s="33"/>
      <c r="BAB186" s="33"/>
      <c r="BAL186" s="33"/>
      <c r="BAV186" s="33"/>
      <c r="BBF186" s="33"/>
      <c r="BBP186" s="33"/>
      <c r="BBZ186" s="33"/>
      <c r="BCJ186" s="33"/>
      <c r="BCT186" s="33"/>
      <c r="BDD186" s="33"/>
      <c r="BDN186" s="33"/>
      <c r="BDX186" s="33"/>
      <c r="BEH186" s="33"/>
      <c r="BER186" s="33"/>
      <c r="BFB186" s="33"/>
      <c r="BFL186" s="33"/>
      <c r="BFV186" s="33"/>
      <c r="BGF186" s="33"/>
      <c r="BGP186" s="33"/>
      <c r="BGZ186" s="33"/>
      <c r="BHJ186" s="33"/>
      <c r="BHT186" s="33"/>
      <c r="BID186" s="33"/>
      <c r="BIN186" s="33"/>
      <c r="BIX186" s="33"/>
      <c r="BJH186" s="33"/>
      <c r="BJR186" s="33"/>
      <c r="BKB186" s="33"/>
      <c r="BKL186" s="33"/>
      <c r="BKV186" s="33"/>
      <c r="BLF186" s="33"/>
      <c r="BLP186" s="33"/>
      <c r="BLZ186" s="33"/>
      <c r="BMJ186" s="33"/>
      <c r="BMT186" s="33"/>
      <c r="BND186" s="33"/>
      <c r="BNN186" s="33"/>
      <c r="BNX186" s="33"/>
      <c r="BOH186" s="33"/>
      <c r="BOR186" s="33"/>
      <c r="BPB186" s="33"/>
      <c r="BPL186" s="33"/>
      <c r="BPV186" s="33"/>
      <c r="BQF186" s="33"/>
      <c r="BQP186" s="33"/>
      <c r="BQZ186" s="33"/>
      <c r="BRJ186" s="33"/>
      <c r="BRT186" s="33"/>
      <c r="BSD186" s="33"/>
      <c r="BSN186" s="33"/>
      <c r="BSX186" s="33"/>
      <c r="BTH186" s="33"/>
      <c r="BTR186" s="33"/>
      <c r="BUB186" s="33"/>
      <c r="BUL186" s="33"/>
      <c r="BUV186" s="33"/>
      <c r="BVF186" s="33"/>
      <c r="BVP186" s="33"/>
      <c r="BVZ186" s="33"/>
      <c r="BWJ186" s="33"/>
      <c r="BWT186" s="33"/>
      <c r="BXD186" s="33"/>
      <c r="BXN186" s="33"/>
      <c r="BXX186" s="33"/>
      <c r="BYH186" s="33"/>
      <c r="BYR186" s="33"/>
      <c r="BZB186" s="33"/>
      <c r="BZL186" s="33"/>
      <c r="BZV186" s="33"/>
      <c r="CAF186" s="33"/>
      <c r="CAP186" s="33"/>
      <c r="CAZ186" s="33"/>
      <c r="CBJ186" s="33"/>
      <c r="CBT186" s="33"/>
      <c r="CCD186" s="33"/>
      <c r="CCN186" s="33"/>
      <c r="CCX186" s="33"/>
      <c r="CDH186" s="33"/>
      <c r="CDR186" s="33"/>
      <c r="CEB186" s="33"/>
      <c r="CEL186" s="33"/>
      <c r="CEV186" s="33"/>
      <c r="CFF186" s="33"/>
      <c r="CFP186" s="33"/>
      <c r="CFZ186" s="33"/>
      <c r="CGJ186" s="33"/>
      <c r="CGT186" s="33"/>
      <c r="CHD186" s="33"/>
      <c r="CHN186" s="33"/>
      <c r="CHX186" s="33"/>
      <c r="CIH186" s="33"/>
      <c r="CIR186" s="33"/>
      <c r="CJB186" s="33"/>
      <c r="CJL186" s="33"/>
      <c r="CJV186" s="33"/>
      <c r="CKF186" s="33"/>
      <c r="CKP186" s="33"/>
      <c r="CKZ186" s="33"/>
      <c r="CLJ186" s="33"/>
      <c r="CLT186" s="33"/>
      <c r="CMD186" s="33"/>
      <c r="CMN186" s="33"/>
      <c r="CMX186" s="33"/>
      <c r="CNH186" s="33"/>
      <c r="CNR186" s="33"/>
      <c r="COB186" s="33"/>
      <c r="COL186" s="33"/>
      <c r="COV186" s="33"/>
      <c r="CPF186" s="33"/>
      <c r="CPP186" s="33"/>
      <c r="CPZ186" s="33"/>
      <c r="CQJ186" s="33"/>
      <c r="CQT186" s="33"/>
      <c r="CRD186" s="33"/>
      <c r="CRN186" s="33"/>
      <c r="CRX186" s="33"/>
      <c r="CSH186" s="33"/>
      <c r="CSR186" s="33"/>
      <c r="CTB186" s="33"/>
      <c r="CTL186" s="33"/>
      <c r="CTV186" s="33"/>
    </row>
    <row r="187" s="16" customFormat="1" customHeight="1" spans="1:1020 1030:2040 2050:2570">
      <c r="A187" s="57"/>
      <c r="B187" s="52"/>
      <c r="C187" s="52"/>
      <c r="D187" s="52"/>
      <c r="E187" s="52"/>
      <c r="F187" s="58" t="str">
        <f>IFERROR(VLOOKUP(E187,日报!E:G,2,0),"")</f>
        <v/>
      </c>
      <c r="G187" s="52"/>
      <c r="H187" s="53" t="str">
        <f>IFERROR(VLOOKUP(E187,基础数据!$E$4:$H$4,4,0),"")</f>
        <v/>
      </c>
      <c r="I187" s="53" t="str">
        <f>IFERROR(VLOOKUP(E187,基础数据!$E$4:$H$4,3,0),"")</f>
        <v/>
      </c>
      <c r="J187" s="52"/>
      <c r="K187" s="54" t="str">
        <f t="shared" si="3"/>
        <v/>
      </c>
      <c r="T187" s="33"/>
      <c r="AD187" s="33"/>
      <c r="AN187" s="33"/>
      <c r="AX187" s="33"/>
      <c r="BH187" s="33"/>
      <c r="BR187" s="33"/>
      <c r="CB187" s="33"/>
      <c r="CL187" s="33"/>
      <c r="CV187" s="33"/>
      <c r="DF187" s="33"/>
      <c r="DP187" s="33"/>
      <c r="DZ187" s="33"/>
      <c r="EJ187" s="33"/>
      <c r="ET187" s="33"/>
      <c r="FD187" s="33"/>
      <c r="FN187" s="33"/>
      <c r="FX187" s="33"/>
      <c r="GH187" s="33"/>
      <c r="GR187" s="33"/>
      <c r="HB187" s="33"/>
      <c r="HL187" s="33"/>
      <c r="HV187" s="33"/>
      <c r="IF187" s="33"/>
      <c r="IP187" s="33"/>
      <c r="IZ187" s="33"/>
      <c r="JJ187" s="33"/>
      <c r="JT187" s="33"/>
      <c r="KD187" s="33"/>
      <c r="KN187" s="33"/>
      <c r="KX187" s="33"/>
      <c r="LH187" s="33"/>
      <c r="LR187" s="33"/>
      <c r="MB187" s="33"/>
      <c r="ML187" s="33"/>
      <c r="MV187" s="33"/>
      <c r="NF187" s="33"/>
      <c r="NP187" s="33"/>
      <c r="NZ187" s="33"/>
      <c r="OJ187" s="33"/>
      <c r="OT187" s="33"/>
      <c r="PD187" s="33"/>
      <c r="PN187" s="33"/>
      <c r="PX187" s="33"/>
      <c r="QH187" s="33"/>
      <c r="QR187" s="33"/>
      <c r="RB187" s="33"/>
      <c r="RL187" s="33"/>
      <c r="RV187" s="33"/>
      <c r="SF187" s="33"/>
      <c r="SP187" s="33"/>
      <c r="SZ187" s="33"/>
      <c r="TJ187" s="33"/>
      <c r="TT187" s="33"/>
      <c r="UD187" s="33"/>
      <c r="UN187" s="33"/>
      <c r="UX187" s="33"/>
      <c r="VH187" s="33"/>
      <c r="VR187" s="33"/>
      <c r="WB187" s="33"/>
      <c r="WL187" s="33"/>
      <c r="WV187" s="33"/>
      <c r="XF187" s="33"/>
      <c r="XP187" s="33"/>
      <c r="XZ187" s="33"/>
      <c r="YJ187" s="33"/>
      <c r="YT187" s="33"/>
      <c r="ZD187" s="33"/>
      <c r="ZN187" s="33"/>
      <c r="ZX187" s="33"/>
      <c r="AAH187" s="33"/>
      <c r="AAR187" s="33"/>
      <c r="ABB187" s="33"/>
      <c r="ABL187" s="33"/>
      <c r="ABV187" s="33"/>
      <c r="ACF187" s="33"/>
      <c r="ACP187" s="33"/>
      <c r="ACZ187" s="33"/>
      <c r="ADJ187" s="33"/>
      <c r="ADT187" s="33"/>
      <c r="AED187" s="33"/>
      <c r="AEN187" s="33"/>
      <c r="AEX187" s="33"/>
      <c r="AFH187" s="33"/>
      <c r="AFR187" s="33"/>
      <c r="AGB187" s="33"/>
      <c r="AGL187" s="33"/>
      <c r="AGV187" s="33"/>
      <c r="AHF187" s="33"/>
      <c r="AHP187" s="33"/>
      <c r="AHZ187" s="33"/>
      <c r="AIJ187" s="33"/>
      <c r="AIT187" s="33"/>
      <c r="AJD187" s="33"/>
      <c r="AJN187" s="33"/>
      <c r="AJX187" s="33"/>
      <c r="AKH187" s="33"/>
      <c r="AKR187" s="33"/>
      <c r="ALB187" s="33"/>
      <c r="ALL187" s="33"/>
      <c r="ALV187" s="33"/>
      <c r="AMF187" s="33"/>
      <c r="AMP187" s="33"/>
      <c r="AMZ187" s="33"/>
      <c r="ANJ187" s="33"/>
      <c r="ANT187" s="33"/>
      <c r="AOD187" s="33"/>
      <c r="AON187" s="33"/>
      <c r="AOX187" s="33"/>
      <c r="APH187" s="33"/>
      <c r="APR187" s="33"/>
      <c r="AQB187" s="33"/>
      <c r="AQL187" s="33"/>
      <c r="AQV187" s="33"/>
      <c r="ARF187" s="33"/>
      <c r="ARP187" s="33"/>
      <c r="ARZ187" s="33"/>
      <c r="ASJ187" s="33"/>
      <c r="AST187" s="33"/>
      <c r="ATD187" s="33"/>
      <c r="ATN187" s="33"/>
      <c r="ATX187" s="33"/>
      <c r="AUH187" s="33"/>
      <c r="AUR187" s="33"/>
      <c r="AVB187" s="33"/>
      <c r="AVL187" s="33"/>
      <c r="AVV187" s="33"/>
      <c r="AWF187" s="33"/>
      <c r="AWP187" s="33"/>
      <c r="AWZ187" s="33"/>
      <c r="AXJ187" s="33"/>
      <c r="AXT187" s="33"/>
      <c r="AYD187" s="33"/>
      <c r="AYN187" s="33"/>
      <c r="AYX187" s="33"/>
      <c r="AZH187" s="33"/>
      <c r="AZR187" s="33"/>
      <c r="BAB187" s="33"/>
      <c r="BAL187" s="33"/>
      <c r="BAV187" s="33"/>
      <c r="BBF187" s="33"/>
      <c r="BBP187" s="33"/>
      <c r="BBZ187" s="33"/>
      <c r="BCJ187" s="33"/>
      <c r="BCT187" s="33"/>
      <c r="BDD187" s="33"/>
      <c r="BDN187" s="33"/>
      <c r="BDX187" s="33"/>
      <c r="BEH187" s="33"/>
      <c r="BER187" s="33"/>
      <c r="BFB187" s="33"/>
      <c r="BFL187" s="33"/>
      <c r="BFV187" s="33"/>
      <c r="BGF187" s="33"/>
      <c r="BGP187" s="33"/>
      <c r="BGZ187" s="33"/>
      <c r="BHJ187" s="33"/>
      <c r="BHT187" s="33"/>
      <c r="BID187" s="33"/>
      <c r="BIN187" s="33"/>
      <c r="BIX187" s="33"/>
      <c r="BJH187" s="33"/>
      <c r="BJR187" s="33"/>
      <c r="BKB187" s="33"/>
      <c r="BKL187" s="33"/>
      <c r="BKV187" s="33"/>
      <c r="BLF187" s="33"/>
      <c r="BLP187" s="33"/>
      <c r="BLZ187" s="33"/>
      <c r="BMJ187" s="33"/>
      <c r="BMT187" s="33"/>
      <c r="BND187" s="33"/>
      <c r="BNN187" s="33"/>
      <c r="BNX187" s="33"/>
      <c r="BOH187" s="33"/>
      <c r="BOR187" s="33"/>
      <c r="BPB187" s="33"/>
      <c r="BPL187" s="33"/>
      <c r="BPV187" s="33"/>
      <c r="BQF187" s="33"/>
      <c r="BQP187" s="33"/>
      <c r="BQZ187" s="33"/>
      <c r="BRJ187" s="33"/>
      <c r="BRT187" s="33"/>
      <c r="BSD187" s="33"/>
      <c r="BSN187" s="33"/>
      <c r="BSX187" s="33"/>
      <c r="BTH187" s="33"/>
      <c r="BTR187" s="33"/>
      <c r="BUB187" s="33"/>
      <c r="BUL187" s="33"/>
      <c r="BUV187" s="33"/>
      <c r="BVF187" s="33"/>
      <c r="BVP187" s="33"/>
      <c r="BVZ187" s="33"/>
      <c r="BWJ187" s="33"/>
      <c r="BWT187" s="33"/>
      <c r="BXD187" s="33"/>
      <c r="BXN187" s="33"/>
      <c r="BXX187" s="33"/>
      <c r="BYH187" s="33"/>
      <c r="BYR187" s="33"/>
      <c r="BZB187" s="33"/>
      <c r="BZL187" s="33"/>
      <c r="BZV187" s="33"/>
      <c r="CAF187" s="33"/>
      <c r="CAP187" s="33"/>
      <c r="CAZ187" s="33"/>
      <c r="CBJ187" s="33"/>
      <c r="CBT187" s="33"/>
      <c r="CCD187" s="33"/>
      <c r="CCN187" s="33"/>
      <c r="CCX187" s="33"/>
      <c r="CDH187" s="33"/>
      <c r="CDR187" s="33"/>
      <c r="CEB187" s="33"/>
      <c r="CEL187" s="33"/>
      <c r="CEV187" s="33"/>
      <c r="CFF187" s="33"/>
      <c r="CFP187" s="33"/>
      <c r="CFZ187" s="33"/>
      <c r="CGJ187" s="33"/>
      <c r="CGT187" s="33"/>
      <c r="CHD187" s="33"/>
      <c r="CHN187" s="33"/>
      <c r="CHX187" s="33"/>
      <c r="CIH187" s="33"/>
      <c r="CIR187" s="33"/>
      <c r="CJB187" s="33"/>
      <c r="CJL187" s="33"/>
      <c r="CJV187" s="33"/>
      <c r="CKF187" s="33"/>
      <c r="CKP187" s="33"/>
      <c r="CKZ187" s="33"/>
      <c r="CLJ187" s="33"/>
      <c r="CLT187" s="33"/>
      <c r="CMD187" s="33"/>
      <c r="CMN187" s="33"/>
      <c r="CMX187" s="33"/>
      <c r="CNH187" s="33"/>
      <c r="CNR187" s="33"/>
      <c r="COB187" s="33"/>
      <c r="COL187" s="33"/>
      <c r="COV187" s="33"/>
      <c r="CPF187" s="33"/>
      <c r="CPP187" s="33"/>
      <c r="CPZ187" s="33"/>
      <c r="CQJ187" s="33"/>
      <c r="CQT187" s="33"/>
      <c r="CRD187" s="33"/>
      <c r="CRN187" s="33"/>
      <c r="CRX187" s="33"/>
      <c r="CSH187" s="33"/>
      <c r="CSR187" s="33"/>
      <c r="CTB187" s="33"/>
      <c r="CTL187" s="33"/>
      <c r="CTV187" s="33"/>
    </row>
    <row r="188" s="16" customFormat="1" customHeight="1" spans="1:1020 1030:2040 2050:2570">
      <c r="A188" s="57"/>
      <c r="B188" s="52"/>
      <c r="C188" s="52"/>
      <c r="D188" s="52"/>
      <c r="E188" s="52"/>
      <c r="F188" s="58" t="str">
        <f>IFERROR(VLOOKUP(E188,日报!E:G,2,0),"")</f>
        <v/>
      </c>
      <c r="G188" s="52"/>
      <c r="H188" s="53" t="str">
        <f>IFERROR(VLOOKUP(E188,基础数据!$E$4:$H$4,4,0),"")</f>
        <v/>
      </c>
      <c r="I188" s="53" t="str">
        <f>IFERROR(VLOOKUP(E188,基础数据!$E$4:$H$4,3,0),"")</f>
        <v/>
      </c>
      <c r="J188" s="52"/>
      <c r="K188" s="54" t="str">
        <f t="shared" si="3"/>
        <v/>
      </c>
      <c r="T188" s="33"/>
      <c r="AD188" s="33"/>
      <c r="AN188" s="33"/>
      <c r="AX188" s="33"/>
      <c r="BH188" s="33"/>
      <c r="BR188" s="33"/>
      <c r="CB188" s="33"/>
      <c r="CL188" s="33"/>
      <c r="CV188" s="33"/>
      <c r="DF188" s="33"/>
      <c r="DP188" s="33"/>
      <c r="DZ188" s="33"/>
      <c r="EJ188" s="33"/>
      <c r="ET188" s="33"/>
      <c r="FD188" s="33"/>
      <c r="FN188" s="33"/>
      <c r="FX188" s="33"/>
      <c r="GH188" s="33"/>
      <c r="GR188" s="33"/>
      <c r="HB188" s="33"/>
      <c r="HL188" s="33"/>
      <c r="HV188" s="33"/>
      <c r="IF188" s="33"/>
      <c r="IP188" s="33"/>
      <c r="IZ188" s="33"/>
      <c r="JJ188" s="33"/>
      <c r="JT188" s="33"/>
      <c r="KD188" s="33"/>
      <c r="KN188" s="33"/>
      <c r="KX188" s="33"/>
      <c r="LH188" s="33"/>
      <c r="LR188" s="33"/>
      <c r="MB188" s="33"/>
      <c r="ML188" s="33"/>
      <c r="MV188" s="33"/>
      <c r="NF188" s="33"/>
      <c r="NP188" s="33"/>
      <c r="NZ188" s="33"/>
      <c r="OJ188" s="33"/>
      <c r="OT188" s="33"/>
      <c r="PD188" s="33"/>
      <c r="PN188" s="33"/>
      <c r="PX188" s="33"/>
      <c r="QH188" s="33"/>
      <c r="QR188" s="33"/>
      <c r="RB188" s="33"/>
      <c r="RL188" s="33"/>
      <c r="RV188" s="33"/>
      <c r="SF188" s="33"/>
      <c r="SP188" s="33"/>
      <c r="SZ188" s="33"/>
      <c r="TJ188" s="33"/>
      <c r="TT188" s="33"/>
      <c r="UD188" s="33"/>
      <c r="UN188" s="33"/>
      <c r="UX188" s="33"/>
      <c r="VH188" s="33"/>
      <c r="VR188" s="33"/>
      <c r="WB188" s="33"/>
      <c r="WL188" s="33"/>
      <c r="WV188" s="33"/>
      <c r="XF188" s="33"/>
      <c r="XP188" s="33"/>
      <c r="XZ188" s="33"/>
      <c r="YJ188" s="33"/>
      <c r="YT188" s="33"/>
      <c r="ZD188" s="33"/>
      <c r="ZN188" s="33"/>
      <c r="ZX188" s="33"/>
      <c r="AAH188" s="33"/>
      <c r="AAR188" s="33"/>
      <c r="ABB188" s="33"/>
      <c r="ABL188" s="33"/>
      <c r="ABV188" s="33"/>
      <c r="ACF188" s="33"/>
      <c r="ACP188" s="33"/>
      <c r="ACZ188" s="33"/>
      <c r="ADJ188" s="33"/>
      <c r="ADT188" s="33"/>
      <c r="AED188" s="33"/>
      <c r="AEN188" s="33"/>
      <c r="AEX188" s="33"/>
      <c r="AFH188" s="33"/>
      <c r="AFR188" s="33"/>
      <c r="AGB188" s="33"/>
      <c r="AGL188" s="33"/>
      <c r="AGV188" s="33"/>
      <c r="AHF188" s="33"/>
      <c r="AHP188" s="33"/>
      <c r="AHZ188" s="33"/>
      <c r="AIJ188" s="33"/>
      <c r="AIT188" s="33"/>
      <c r="AJD188" s="33"/>
      <c r="AJN188" s="33"/>
      <c r="AJX188" s="33"/>
      <c r="AKH188" s="33"/>
      <c r="AKR188" s="33"/>
      <c r="ALB188" s="33"/>
      <c r="ALL188" s="33"/>
      <c r="ALV188" s="33"/>
      <c r="AMF188" s="33"/>
      <c r="AMP188" s="33"/>
      <c r="AMZ188" s="33"/>
      <c r="ANJ188" s="33"/>
      <c r="ANT188" s="33"/>
      <c r="AOD188" s="33"/>
      <c r="AON188" s="33"/>
      <c r="AOX188" s="33"/>
      <c r="APH188" s="33"/>
      <c r="APR188" s="33"/>
      <c r="AQB188" s="33"/>
      <c r="AQL188" s="33"/>
      <c r="AQV188" s="33"/>
      <c r="ARF188" s="33"/>
      <c r="ARP188" s="33"/>
      <c r="ARZ188" s="33"/>
      <c r="ASJ188" s="33"/>
      <c r="AST188" s="33"/>
      <c r="ATD188" s="33"/>
      <c r="ATN188" s="33"/>
      <c r="ATX188" s="33"/>
      <c r="AUH188" s="33"/>
      <c r="AUR188" s="33"/>
      <c r="AVB188" s="33"/>
      <c r="AVL188" s="33"/>
      <c r="AVV188" s="33"/>
      <c r="AWF188" s="33"/>
      <c r="AWP188" s="33"/>
      <c r="AWZ188" s="33"/>
      <c r="AXJ188" s="33"/>
      <c r="AXT188" s="33"/>
      <c r="AYD188" s="33"/>
      <c r="AYN188" s="33"/>
      <c r="AYX188" s="33"/>
      <c r="AZH188" s="33"/>
      <c r="AZR188" s="33"/>
      <c r="BAB188" s="33"/>
      <c r="BAL188" s="33"/>
      <c r="BAV188" s="33"/>
      <c r="BBF188" s="33"/>
      <c r="BBP188" s="33"/>
      <c r="BBZ188" s="33"/>
      <c r="BCJ188" s="33"/>
      <c r="BCT188" s="33"/>
      <c r="BDD188" s="33"/>
      <c r="BDN188" s="33"/>
      <c r="BDX188" s="33"/>
      <c r="BEH188" s="33"/>
      <c r="BER188" s="33"/>
      <c r="BFB188" s="33"/>
      <c r="BFL188" s="33"/>
      <c r="BFV188" s="33"/>
      <c r="BGF188" s="33"/>
      <c r="BGP188" s="33"/>
      <c r="BGZ188" s="33"/>
      <c r="BHJ188" s="33"/>
      <c r="BHT188" s="33"/>
      <c r="BID188" s="33"/>
      <c r="BIN188" s="33"/>
      <c r="BIX188" s="33"/>
      <c r="BJH188" s="33"/>
      <c r="BJR188" s="33"/>
      <c r="BKB188" s="33"/>
      <c r="BKL188" s="33"/>
      <c r="BKV188" s="33"/>
      <c r="BLF188" s="33"/>
      <c r="BLP188" s="33"/>
      <c r="BLZ188" s="33"/>
      <c r="BMJ188" s="33"/>
      <c r="BMT188" s="33"/>
      <c r="BND188" s="33"/>
      <c r="BNN188" s="33"/>
      <c r="BNX188" s="33"/>
      <c r="BOH188" s="33"/>
      <c r="BOR188" s="33"/>
      <c r="BPB188" s="33"/>
      <c r="BPL188" s="33"/>
      <c r="BPV188" s="33"/>
      <c r="BQF188" s="33"/>
      <c r="BQP188" s="33"/>
      <c r="BQZ188" s="33"/>
      <c r="BRJ188" s="33"/>
      <c r="BRT188" s="33"/>
      <c r="BSD188" s="33"/>
      <c r="BSN188" s="33"/>
      <c r="BSX188" s="33"/>
      <c r="BTH188" s="33"/>
      <c r="BTR188" s="33"/>
      <c r="BUB188" s="33"/>
      <c r="BUL188" s="33"/>
      <c r="BUV188" s="33"/>
      <c r="BVF188" s="33"/>
      <c r="BVP188" s="33"/>
      <c r="BVZ188" s="33"/>
      <c r="BWJ188" s="33"/>
      <c r="BWT188" s="33"/>
      <c r="BXD188" s="33"/>
      <c r="BXN188" s="33"/>
      <c r="BXX188" s="33"/>
      <c r="BYH188" s="33"/>
      <c r="BYR188" s="33"/>
      <c r="BZB188" s="33"/>
      <c r="BZL188" s="33"/>
      <c r="BZV188" s="33"/>
      <c r="CAF188" s="33"/>
      <c r="CAP188" s="33"/>
      <c r="CAZ188" s="33"/>
      <c r="CBJ188" s="33"/>
      <c r="CBT188" s="33"/>
      <c r="CCD188" s="33"/>
      <c r="CCN188" s="33"/>
      <c r="CCX188" s="33"/>
      <c r="CDH188" s="33"/>
      <c r="CDR188" s="33"/>
      <c r="CEB188" s="33"/>
      <c r="CEL188" s="33"/>
      <c r="CEV188" s="33"/>
      <c r="CFF188" s="33"/>
      <c r="CFP188" s="33"/>
      <c r="CFZ188" s="33"/>
      <c r="CGJ188" s="33"/>
      <c r="CGT188" s="33"/>
      <c r="CHD188" s="33"/>
      <c r="CHN188" s="33"/>
      <c r="CHX188" s="33"/>
      <c r="CIH188" s="33"/>
      <c r="CIR188" s="33"/>
      <c r="CJB188" s="33"/>
      <c r="CJL188" s="33"/>
      <c r="CJV188" s="33"/>
      <c r="CKF188" s="33"/>
      <c r="CKP188" s="33"/>
      <c r="CKZ188" s="33"/>
      <c r="CLJ188" s="33"/>
      <c r="CLT188" s="33"/>
      <c r="CMD188" s="33"/>
      <c r="CMN188" s="33"/>
      <c r="CMX188" s="33"/>
      <c r="CNH188" s="33"/>
      <c r="CNR188" s="33"/>
      <c r="COB188" s="33"/>
      <c r="COL188" s="33"/>
      <c r="COV188" s="33"/>
      <c r="CPF188" s="33"/>
      <c r="CPP188" s="33"/>
      <c r="CPZ188" s="33"/>
      <c r="CQJ188" s="33"/>
      <c r="CQT188" s="33"/>
      <c r="CRD188" s="33"/>
      <c r="CRN188" s="33"/>
      <c r="CRX188" s="33"/>
      <c r="CSH188" s="33"/>
      <c r="CSR188" s="33"/>
      <c r="CTB188" s="33"/>
      <c r="CTL188" s="33"/>
      <c r="CTV188" s="33"/>
    </row>
    <row r="189" s="16" customFormat="1" customHeight="1" spans="1:1020 1030:2040 2050:2570">
      <c r="A189" s="57"/>
      <c r="B189" s="52"/>
      <c r="C189" s="52"/>
      <c r="D189" s="52"/>
      <c r="E189" s="52"/>
      <c r="F189" s="58" t="str">
        <f>IFERROR(VLOOKUP(E189,日报!E:G,2,0),"")</f>
        <v/>
      </c>
      <c r="G189" s="52"/>
      <c r="H189" s="53" t="str">
        <f>IFERROR(VLOOKUP(E189,基础数据!$E$4:$H$4,4,0),"")</f>
        <v/>
      </c>
      <c r="I189" s="53" t="str">
        <f>IFERROR(VLOOKUP(E189,基础数据!$E$4:$H$4,3,0),"")</f>
        <v/>
      </c>
      <c r="J189" s="52"/>
      <c r="K189" s="54" t="str">
        <f t="shared" si="3"/>
        <v/>
      </c>
      <c r="T189" s="33"/>
      <c r="AD189" s="33"/>
      <c r="AN189" s="33"/>
      <c r="AX189" s="33"/>
      <c r="BH189" s="33"/>
      <c r="BR189" s="33"/>
      <c r="CB189" s="33"/>
      <c r="CL189" s="33"/>
      <c r="CV189" s="33"/>
      <c r="DF189" s="33"/>
      <c r="DP189" s="33"/>
      <c r="DZ189" s="33"/>
      <c r="EJ189" s="33"/>
      <c r="ET189" s="33"/>
      <c r="FD189" s="33"/>
      <c r="FN189" s="33"/>
      <c r="FX189" s="33"/>
      <c r="GH189" s="33"/>
      <c r="GR189" s="33"/>
      <c r="HB189" s="33"/>
      <c r="HL189" s="33"/>
      <c r="HV189" s="33"/>
      <c r="IF189" s="33"/>
      <c r="IP189" s="33"/>
      <c r="IZ189" s="33"/>
      <c r="JJ189" s="33"/>
      <c r="JT189" s="33"/>
      <c r="KD189" s="33"/>
      <c r="KN189" s="33"/>
      <c r="KX189" s="33"/>
      <c r="LH189" s="33"/>
      <c r="LR189" s="33"/>
      <c r="MB189" s="33"/>
      <c r="ML189" s="33"/>
      <c r="MV189" s="33"/>
      <c r="NF189" s="33"/>
      <c r="NP189" s="33"/>
      <c r="NZ189" s="33"/>
      <c r="OJ189" s="33"/>
      <c r="OT189" s="33"/>
      <c r="PD189" s="33"/>
      <c r="PN189" s="33"/>
      <c r="PX189" s="33"/>
      <c r="QH189" s="33"/>
      <c r="QR189" s="33"/>
      <c r="RB189" s="33"/>
      <c r="RL189" s="33"/>
      <c r="RV189" s="33"/>
      <c r="SF189" s="33"/>
      <c r="SP189" s="33"/>
      <c r="SZ189" s="33"/>
      <c r="TJ189" s="33"/>
      <c r="TT189" s="33"/>
      <c r="UD189" s="33"/>
      <c r="UN189" s="33"/>
      <c r="UX189" s="33"/>
      <c r="VH189" s="33"/>
      <c r="VR189" s="33"/>
      <c r="WB189" s="33"/>
      <c r="WL189" s="33"/>
      <c r="WV189" s="33"/>
      <c r="XF189" s="33"/>
      <c r="XP189" s="33"/>
      <c r="XZ189" s="33"/>
      <c r="YJ189" s="33"/>
      <c r="YT189" s="33"/>
      <c r="ZD189" s="33"/>
      <c r="ZN189" s="33"/>
      <c r="ZX189" s="33"/>
      <c r="AAH189" s="33"/>
      <c r="AAR189" s="33"/>
      <c r="ABB189" s="33"/>
      <c r="ABL189" s="33"/>
      <c r="ABV189" s="33"/>
      <c r="ACF189" s="33"/>
      <c r="ACP189" s="33"/>
      <c r="ACZ189" s="33"/>
      <c r="ADJ189" s="33"/>
      <c r="ADT189" s="33"/>
      <c r="AED189" s="33"/>
      <c r="AEN189" s="33"/>
      <c r="AEX189" s="33"/>
      <c r="AFH189" s="33"/>
      <c r="AFR189" s="33"/>
      <c r="AGB189" s="33"/>
      <c r="AGL189" s="33"/>
      <c r="AGV189" s="33"/>
      <c r="AHF189" s="33"/>
      <c r="AHP189" s="33"/>
      <c r="AHZ189" s="33"/>
      <c r="AIJ189" s="33"/>
      <c r="AIT189" s="33"/>
      <c r="AJD189" s="33"/>
      <c r="AJN189" s="33"/>
      <c r="AJX189" s="33"/>
      <c r="AKH189" s="33"/>
      <c r="AKR189" s="33"/>
      <c r="ALB189" s="33"/>
      <c r="ALL189" s="33"/>
      <c r="ALV189" s="33"/>
      <c r="AMF189" s="33"/>
      <c r="AMP189" s="33"/>
      <c r="AMZ189" s="33"/>
      <c r="ANJ189" s="33"/>
      <c r="ANT189" s="33"/>
      <c r="AOD189" s="33"/>
      <c r="AON189" s="33"/>
      <c r="AOX189" s="33"/>
      <c r="APH189" s="33"/>
      <c r="APR189" s="33"/>
      <c r="AQB189" s="33"/>
      <c r="AQL189" s="33"/>
      <c r="AQV189" s="33"/>
      <c r="ARF189" s="33"/>
      <c r="ARP189" s="33"/>
      <c r="ARZ189" s="33"/>
      <c r="ASJ189" s="33"/>
      <c r="AST189" s="33"/>
      <c r="ATD189" s="33"/>
      <c r="ATN189" s="33"/>
      <c r="ATX189" s="33"/>
      <c r="AUH189" s="33"/>
      <c r="AUR189" s="33"/>
      <c r="AVB189" s="33"/>
      <c r="AVL189" s="33"/>
      <c r="AVV189" s="33"/>
      <c r="AWF189" s="33"/>
      <c r="AWP189" s="33"/>
      <c r="AWZ189" s="33"/>
      <c r="AXJ189" s="33"/>
      <c r="AXT189" s="33"/>
      <c r="AYD189" s="33"/>
      <c r="AYN189" s="33"/>
      <c r="AYX189" s="33"/>
      <c r="AZH189" s="33"/>
      <c r="AZR189" s="33"/>
      <c r="BAB189" s="33"/>
      <c r="BAL189" s="33"/>
      <c r="BAV189" s="33"/>
      <c r="BBF189" s="33"/>
      <c r="BBP189" s="33"/>
      <c r="BBZ189" s="33"/>
      <c r="BCJ189" s="33"/>
      <c r="BCT189" s="33"/>
      <c r="BDD189" s="33"/>
      <c r="BDN189" s="33"/>
      <c r="BDX189" s="33"/>
      <c r="BEH189" s="33"/>
      <c r="BER189" s="33"/>
      <c r="BFB189" s="33"/>
      <c r="BFL189" s="33"/>
      <c r="BFV189" s="33"/>
      <c r="BGF189" s="33"/>
      <c r="BGP189" s="33"/>
      <c r="BGZ189" s="33"/>
      <c r="BHJ189" s="33"/>
      <c r="BHT189" s="33"/>
      <c r="BID189" s="33"/>
      <c r="BIN189" s="33"/>
      <c r="BIX189" s="33"/>
      <c r="BJH189" s="33"/>
      <c r="BJR189" s="33"/>
      <c r="BKB189" s="33"/>
      <c r="BKL189" s="33"/>
      <c r="BKV189" s="33"/>
      <c r="BLF189" s="33"/>
      <c r="BLP189" s="33"/>
      <c r="BLZ189" s="33"/>
      <c r="BMJ189" s="33"/>
      <c r="BMT189" s="33"/>
      <c r="BND189" s="33"/>
      <c r="BNN189" s="33"/>
      <c r="BNX189" s="33"/>
      <c r="BOH189" s="33"/>
      <c r="BOR189" s="33"/>
      <c r="BPB189" s="33"/>
      <c r="BPL189" s="33"/>
      <c r="BPV189" s="33"/>
      <c r="BQF189" s="33"/>
      <c r="BQP189" s="33"/>
      <c r="BQZ189" s="33"/>
      <c r="BRJ189" s="33"/>
      <c r="BRT189" s="33"/>
      <c r="BSD189" s="33"/>
      <c r="BSN189" s="33"/>
      <c r="BSX189" s="33"/>
      <c r="BTH189" s="33"/>
      <c r="BTR189" s="33"/>
      <c r="BUB189" s="33"/>
      <c r="BUL189" s="33"/>
      <c r="BUV189" s="33"/>
      <c r="BVF189" s="33"/>
      <c r="BVP189" s="33"/>
      <c r="BVZ189" s="33"/>
      <c r="BWJ189" s="33"/>
      <c r="BWT189" s="33"/>
      <c r="BXD189" s="33"/>
      <c r="BXN189" s="33"/>
      <c r="BXX189" s="33"/>
      <c r="BYH189" s="33"/>
      <c r="BYR189" s="33"/>
      <c r="BZB189" s="33"/>
      <c r="BZL189" s="33"/>
      <c r="BZV189" s="33"/>
      <c r="CAF189" s="33"/>
      <c r="CAP189" s="33"/>
      <c r="CAZ189" s="33"/>
      <c r="CBJ189" s="33"/>
      <c r="CBT189" s="33"/>
      <c r="CCD189" s="33"/>
      <c r="CCN189" s="33"/>
      <c r="CCX189" s="33"/>
      <c r="CDH189" s="33"/>
      <c r="CDR189" s="33"/>
      <c r="CEB189" s="33"/>
      <c r="CEL189" s="33"/>
      <c r="CEV189" s="33"/>
      <c r="CFF189" s="33"/>
      <c r="CFP189" s="33"/>
      <c r="CFZ189" s="33"/>
      <c r="CGJ189" s="33"/>
      <c r="CGT189" s="33"/>
      <c r="CHD189" s="33"/>
      <c r="CHN189" s="33"/>
      <c r="CHX189" s="33"/>
      <c r="CIH189" s="33"/>
      <c r="CIR189" s="33"/>
      <c r="CJB189" s="33"/>
      <c r="CJL189" s="33"/>
      <c r="CJV189" s="33"/>
      <c r="CKF189" s="33"/>
      <c r="CKP189" s="33"/>
      <c r="CKZ189" s="33"/>
      <c r="CLJ189" s="33"/>
      <c r="CLT189" s="33"/>
      <c r="CMD189" s="33"/>
      <c r="CMN189" s="33"/>
      <c r="CMX189" s="33"/>
      <c r="CNH189" s="33"/>
      <c r="CNR189" s="33"/>
      <c r="COB189" s="33"/>
      <c r="COL189" s="33"/>
      <c r="COV189" s="33"/>
      <c r="CPF189" s="33"/>
      <c r="CPP189" s="33"/>
      <c r="CPZ189" s="33"/>
      <c r="CQJ189" s="33"/>
      <c r="CQT189" s="33"/>
      <c r="CRD189" s="33"/>
      <c r="CRN189" s="33"/>
      <c r="CRX189" s="33"/>
      <c r="CSH189" s="33"/>
      <c r="CSR189" s="33"/>
      <c r="CTB189" s="33"/>
      <c r="CTL189" s="33"/>
      <c r="CTV189" s="33"/>
    </row>
    <row r="190" s="16" customFormat="1" customHeight="1" spans="1:1020 1030:2040 2050:2570">
      <c r="A190" s="57"/>
      <c r="B190" s="52"/>
      <c r="C190" s="52"/>
      <c r="D190" s="52"/>
      <c r="E190" s="52"/>
      <c r="F190" s="58" t="str">
        <f>IFERROR(VLOOKUP(E190,日报!E:G,2,0),"")</f>
        <v/>
      </c>
      <c r="G190" s="52"/>
      <c r="H190" s="53" t="str">
        <f>IFERROR(VLOOKUP(E190,基础数据!$E$4:$H$4,4,0),"")</f>
        <v/>
      </c>
      <c r="I190" s="53" t="str">
        <f>IFERROR(VLOOKUP(E190,基础数据!$E$4:$H$4,3,0),"")</f>
        <v/>
      </c>
      <c r="J190" s="52"/>
      <c r="K190" s="54" t="str">
        <f t="shared" si="3"/>
        <v/>
      </c>
      <c r="T190" s="33"/>
      <c r="AD190" s="33"/>
      <c r="AN190" s="33"/>
      <c r="AX190" s="33"/>
      <c r="BH190" s="33"/>
      <c r="BR190" s="33"/>
      <c r="CB190" s="33"/>
      <c r="CL190" s="33"/>
      <c r="CV190" s="33"/>
      <c r="DF190" s="33"/>
      <c r="DP190" s="33"/>
      <c r="DZ190" s="33"/>
      <c r="EJ190" s="33"/>
      <c r="ET190" s="33"/>
      <c r="FD190" s="33"/>
      <c r="FN190" s="33"/>
      <c r="FX190" s="33"/>
      <c r="GH190" s="33"/>
      <c r="GR190" s="33"/>
      <c r="HB190" s="33"/>
      <c r="HL190" s="33"/>
      <c r="HV190" s="33"/>
      <c r="IF190" s="33"/>
      <c r="IP190" s="33"/>
      <c r="IZ190" s="33"/>
      <c r="JJ190" s="33"/>
      <c r="JT190" s="33"/>
      <c r="KD190" s="33"/>
      <c r="KN190" s="33"/>
      <c r="KX190" s="33"/>
      <c r="LH190" s="33"/>
      <c r="LR190" s="33"/>
      <c r="MB190" s="33"/>
      <c r="ML190" s="33"/>
      <c r="MV190" s="33"/>
      <c r="NF190" s="33"/>
      <c r="NP190" s="33"/>
      <c r="NZ190" s="33"/>
      <c r="OJ190" s="33"/>
      <c r="OT190" s="33"/>
      <c r="PD190" s="33"/>
      <c r="PN190" s="33"/>
      <c r="PX190" s="33"/>
      <c r="QH190" s="33"/>
      <c r="QR190" s="33"/>
      <c r="RB190" s="33"/>
      <c r="RL190" s="33"/>
      <c r="RV190" s="33"/>
      <c r="SF190" s="33"/>
      <c r="SP190" s="33"/>
      <c r="SZ190" s="33"/>
      <c r="TJ190" s="33"/>
      <c r="TT190" s="33"/>
      <c r="UD190" s="33"/>
      <c r="UN190" s="33"/>
      <c r="UX190" s="33"/>
      <c r="VH190" s="33"/>
      <c r="VR190" s="33"/>
      <c r="WB190" s="33"/>
      <c r="WL190" s="33"/>
      <c r="WV190" s="33"/>
      <c r="XF190" s="33"/>
      <c r="XP190" s="33"/>
      <c r="XZ190" s="33"/>
      <c r="YJ190" s="33"/>
      <c r="YT190" s="33"/>
      <c r="ZD190" s="33"/>
      <c r="ZN190" s="33"/>
      <c r="ZX190" s="33"/>
      <c r="AAH190" s="33"/>
      <c r="AAR190" s="33"/>
      <c r="ABB190" s="33"/>
      <c r="ABL190" s="33"/>
      <c r="ABV190" s="33"/>
      <c r="ACF190" s="33"/>
      <c r="ACP190" s="33"/>
      <c r="ACZ190" s="33"/>
      <c r="ADJ190" s="33"/>
      <c r="ADT190" s="33"/>
      <c r="AED190" s="33"/>
      <c r="AEN190" s="33"/>
      <c r="AEX190" s="33"/>
      <c r="AFH190" s="33"/>
      <c r="AFR190" s="33"/>
      <c r="AGB190" s="33"/>
      <c r="AGL190" s="33"/>
      <c r="AGV190" s="33"/>
      <c r="AHF190" s="33"/>
      <c r="AHP190" s="33"/>
      <c r="AHZ190" s="33"/>
      <c r="AIJ190" s="33"/>
      <c r="AIT190" s="33"/>
      <c r="AJD190" s="33"/>
      <c r="AJN190" s="33"/>
      <c r="AJX190" s="33"/>
      <c r="AKH190" s="33"/>
      <c r="AKR190" s="33"/>
      <c r="ALB190" s="33"/>
      <c r="ALL190" s="33"/>
      <c r="ALV190" s="33"/>
      <c r="AMF190" s="33"/>
      <c r="AMP190" s="33"/>
      <c r="AMZ190" s="33"/>
      <c r="ANJ190" s="33"/>
      <c r="ANT190" s="33"/>
      <c r="AOD190" s="33"/>
      <c r="AON190" s="33"/>
      <c r="AOX190" s="33"/>
      <c r="APH190" s="33"/>
      <c r="APR190" s="33"/>
      <c r="AQB190" s="33"/>
      <c r="AQL190" s="33"/>
      <c r="AQV190" s="33"/>
      <c r="ARF190" s="33"/>
      <c r="ARP190" s="33"/>
      <c r="ARZ190" s="33"/>
      <c r="ASJ190" s="33"/>
      <c r="AST190" s="33"/>
      <c r="ATD190" s="33"/>
      <c r="ATN190" s="33"/>
      <c r="ATX190" s="33"/>
      <c r="AUH190" s="33"/>
      <c r="AUR190" s="33"/>
      <c r="AVB190" s="33"/>
      <c r="AVL190" s="33"/>
      <c r="AVV190" s="33"/>
      <c r="AWF190" s="33"/>
      <c r="AWP190" s="33"/>
      <c r="AWZ190" s="33"/>
      <c r="AXJ190" s="33"/>
      <c r="AXT190" s="33"/>
      <c r="AYD190" s="33"/>
      <c r="AYN190" s="33"/>
      <c r="AYX190" s="33"/>
      <c r="AZH190" s="33"/>
      <c r="AZR190" s="33"/>
      <c r="BAB190" s="33"/>
      <c r="BAL190" s="33"/>
      <c r="BAV190" s="33"/>
      <c r="BBF190" s="33"/>
      <c r="BBP190" s="33"/>
      <c r="BBZ190" s="33"/>
      <c r="BCJ190" s="33"/>
      <c r="BCT190" s="33"/>
      <c r="BDD190" s="33"/>
      <c r="BDN190" s="33"/>
      <c r="BDX190" s="33"/>
      <c r="BEH190" s="33"/>
      <c r="BER190" s="33"/>
      <c r="BFB190" s="33"/>
      <c r="BFL190" s="33"/>
      <c r="BFV190" s="33"/>
      <c r="BGF190" s="33"/>
      <c r="BGP190" s="33"/>
      <c r="BGZ190" s="33"/>
      <c r="BHJ190" s="33"/>
      <c r="BHT190" s="33"/>
      <c r="BID190" s="33"/>
      <c r="BIN190" s="33"/>
      <c r="BIX190" s="33"/>
      <c r="BJH190" s="33"/>
      <c r="BJR190" s="33"/>
      <c r="BKB190" s="33"/>
      <c r="BKL190" s="33"/>
      <c r="BKV190" s="33"/>
      <c r="BLF190" s="33"/>
      <c r="BLP190" s="33"/>
      <c r="BLZ190" s="33"/>
      <c r="BMJ190" s="33"/>
      <c r="BMT190" s="33"/>
      <c r="BND190" s="33"/>
      <c r="BNN190" s="33"/>
      <c r="BNX190" s="33"/>
      <c r="BOH190" s="33"/>
      <c r="BOR190" s="33"/>
      <c r="BPB190" s="33"/>
      <c r="BPL190" s="33"/>
      <c r="BPV190" s="33"/>
      <c r="BQF190" s="33"/>
      <c r="BQP190" s="33"/>
      <c r="BQZ190" s="33"/>
      <c r="BRJ190" s="33"/>
      <c r="BRT190" s="33"/>
      <c r="BSD190" s="33"/>
      <c r="BSN190" s="33"/>
      <c r="BSX190" s="33"/>
      <c r="BTH190" s="33"/>
      <c r="BTR190" s="33"/>
      <c r="BUB190" s="33"/>
      <c r="BUL190" s="33"/>
      <c r="BUV190" s="33"/>
      <c r="BVF190" s="33"/>
      <c r="BVP190" s="33"/>
      <c r="BVZ190" s="33"/>
      <c r="BWJ190" s="33"/>
      <c r="BWT190" s="33"/>
      <c r="BXD190" s="33"/>
      <c r="BXN190" s="33"/>
      <c r="BXX190" s="33"/>
      <c r="BYH190" s="33"/>
      <c r="BYR190" s="33"/>
      <c r="BZB190" s="33"/>
      <c r="BZL190" s="33"/>
      <c r="BZV190" s="33"/>
      <c r="CAF190" s="33"/>
      <c r="CAP190" s="33"/>
      <c r="CAZ190" s="33"/>
      <c r="CBJ190" s="33"/>
      <c r="CBT190" s="33"/>
      <c r="CCD190" s="33"/>
      <c r="CCN190" s="33"/>
      <c r="CCX190" s="33"/>
      <c r="CDH190" s="33"/>
      <c r="CDR190" s="33"/>
      <c r="CEB190" s="33"/>
      <c r="CEL190" s="33"/>
      <c r="CEV190" s="33"/>
      <c r="CFF190" s="33"/>
      <c r="CFP190" s="33"/>
      <c r="CFZ190" s="33"/>
      <c r="CGJ190" s="33"/>
      <c r="CGT190" s="33"/>
      <c r="CHD190" s="33"/>
      <c r="CHN190" s="33"/>
      <c r="CHX190" s="33"/>
      <c r="CIH190" s="33"/>
      <c r="CIR190" s="33"/>
      <c r="CJB190" s="33"/>
      <c r="CJL190" s="33"/>
      <c r="CJV190" s="33"/>
      <c r="CKF190" s="33"/>
      <c r="CKP190" s="33"/>
      <c r="CKZ190" s="33"/>
      <c r="CLJ190" s="33"/>
      <c r="CLT190" s="33"/>
      <c r="CMD190" s="33"/>
      <c r="CMN190" s="33"/>
      <c r="CMX190" s="33"/>
      <c r="CNH190" s="33"/>
      <c r="CNR190" s="33"/>
      <c r="COB190" s="33"/>
      <c r="COL190" s="33"/>
      <c r="COV190" s="33"/>
      <c r="CPF190" s="33"/>
      <c r="CPP190" s="33"/>
      <c r="CPZ190" s="33"/>
      <c r="CQJ190" s="33"/>
      <c r="CQT190" s="33"/>
      <c r="CRD190" s="33"/>
      <c r="CRN190" s="33"/>
      <c r="CRX190" s="33"/>
      <c r="CSH190" s="33"/>
      <c r="CSR190" s="33"/>
      <c r="CTB190" s="33"/>
      <c r="CTL190" s="33"/>
      <c r="CTV190" s="33"/>
    </row>
    <row r="191" s="16" customFormat="1" customHeight="1" spans="1:1020 1030:2040 2050:2570">
      <c r="A191" s="57"/>
      <c r="B191" s="52"/>
      <c r="C191" s="52"/>
      <c r="D191" s="52"/>
      <c r="E191" s="52"/>
      <c r="F191" s="58" t="str">
        <f>IFERROR(VLOOKUP(E191,日报!E:G,2,0),"")</f>
        <v/>
      </c>
      <c r="G191" s="52"/>
      <c r="H191" s="53" t="str">
        <f>IFERROR(VLOOKUP(E191,基础数据!$E$4:$H$4,4,0),"")</f>
        <v/>
      </c>
      <c r="I191" s="53" t="str">
        <f>IFERROR(VLOOKUP(E191,基础数据!$E$4:$H$4,3,0),"")</f>
        <v/>
      </c>
      <c r="J191" s="52"/>
      <c r="K191" s="54" t="str">
        <f t="shared" si="3"/>
        <v/>
      </c>
      <c r="T191" s="33"/>
      <c r="AD191" s="33"/>
      <c r="AN191" s="33"/>
      <c r="AX191" s="33"/>
      <c r="BH191" s="33"/>
      <c r="BR191" s="33"/>
      <c r="CB191" s="33"/>
      <c r="CL191" s="33"/>
      <c r="CV191" s="33"/>
      <c r="DF191" s="33"/>
      <c r="DP191" s="33"/>
      <c r="DZ191" s="33"/>
      <c r="EJ191" s="33"/>
      <c r="ET191" s="33"/>
      <c r="FD191" s="33"/>
      <c r="FN191" s="33"/>
      <c r="FX191" s="33"/>
      <c r="GH191" s="33"/>
      <c r="GR191" s="33"/>
      <c r="HB191" s="33"/>
      <c r="HL191" s="33"/>
      <c r="HV191" s="33"/>
      <c r="IF191" s="33"/>
      <c r="IP191" s="33"/>
      <c r="IZ191" s="33"/>
      <c r="JJ191" s="33"/>
      <c r="JT191" s="33"/>
      <c r="KD191" s="33"/>
      <c r="KN191" s="33"/>
      <c r="KX191" s="33"/>
      <c r="LH191" s="33"/>
      <c r="LR191" s="33"/>
      <c r="MB191" s="33"/>
      <c r="ML191" s="33"/>
      <c r="MV191" s="33"/>
      <c r="NF191" s="33"/>
      <c r="NP191" s="33"/>
      <c r="NZ191" s="33"/>
      <c r="OJ191" s="33"/>
      <c r="OT191" s="33"/>
      <c r="PD191" s="33"/>
      <c r="PN191" s="33"/>
      <c r="PX191" s="33"/>
      <c r="QH191" s="33"/>
      <c r="QR191" s="33"/>
      <c r="RB191" s="33"/>
      <c r="RL191" s="33"/>
      <c r="RV191" s="33"/>
      <c r="SF191" s="33"/>
      <c r="SP191" s="33"/>
      <c r="SZ191" s="33"/>
      <c r="TJ191" s="33"/>
      <c r="TT191" s="33"/>
      <c r="UD191" s="33"/>
      <c r="UN191" s="33"/>
      <c r="UX191" s="33"/>
      <c r="VH191" s="33"/>
      <c r="VR191" s="33"/>
      <c r="WB191" s="33"/>
      <c r="WL191" s="33"/>
      <c r="WV191" s="33"/>
      <c r="XF191" s="33"/>
      <c r="XP191" s="33"/>
      <c r="XZ191" s="33"/>
      <c r="YJ191" s="33"/>
      <c r="YT191" s="33"/>
      <c r="ZD191" s="33"/>
      <c r="ZN191" s="33"/>
      <c r="ZX191" s="33"/>
      <c r="AAH191" s="33"/>
      <c r="AAR191" s="33"/>
      <c r="ABB191" s="33"/>
      <c r="ABL191" s="33"/>
      <c r="ABV191" s="33"/>
      <c r="ACF191" s="33"/>
      <c r="ACP191" s="33"/>
      <c r="ACZ191" s="33"/>
      <c r="ADJ191" s="33"/>
      <c r="ADT191" s="33"/>
      <c r="AED191" s="33"/>
      <c r="AEN191" s="33"/>
      <c r="AEX191" s="33"/>
      <c r="AFH191" s="33"/>
      <c r="AFR191" s="33"/>
      <c r="AGB191" s="33"/>
      <c r="AGL191" s="33"/>
      <c r="AGV191" s="33"/>
      <c r="AHF191" s="33"/>
      <c r="AHP191" s="33"/>
      <c r="AHZ191" s="33"/>
      <c r="AIJ191" s="33"/>
      <c r="AIT191" s="33"/>
      <c r="AJD191" s="33"/>
      <c r="AJN191" s="33"/>
      <c r="AJX191" s="33"/>
      <c r="AKH191" s="33"/>
      <c r="AKR191" s="33"/>
      <c r="ALB191" s="33"/>
      <c r="ALL191" s="33"/>
      <c r="ALV191" s="33"/>
      <c r="AMF191" s="33"/>
      <c r="AMP191" s="33"/>
      <c r="AMZ191" s="33"/>
      <c r="ANJ191" s="33"/>
      <c r="ANT191" s="33"/>
      <c r="AOD191" s="33"/>
      <c r="AON191" s="33"/>
      <c r="AOX191" s="33"/>
      <c r="APH191" s="33"/>
      <c r="APR191" s="33"/>
      <c r="AQB191" s="33"/>
      <c r="AQL191" s="33"/>
      <c r="AQV191" s="33"/>
      <c r="ARF191" s="33"/>
      <c r="ARP191" s="33"/>
      <c r="ARZ191" s="33"/>
      <c r="ASJ191" s="33"/>
      <c r="AST191" s="33"/>
      <c r="ATD191" s="33"/>
      <c r="ATN191" s="33"/>
      <c r="ATX191" s="33"/>
      <c r="AUH191" s="33"/>
      <c r="AUR191" s="33"/>
      <c r="AVB191" s="33"/>
      <c r="AVL191" s="33"/>
      <c r="AVV191" s="33"/>
      <c r="AWF191" s="33"/>
      <c r="AWP191" s="33"/>
      <c r="AWZ191" s="33"/>
      <c r="AXJ191" s="33"/>
      <c r="AXT191" s="33"/>
      <c r="AYD191" s="33"/>
      <c r="AYN191" s="33"/>
      <c r="AYX191" s="33"/>
      <c r="AZH191" s="33"/>
      <c r="AZR191" s="33"/>
      <c r="BAB191" s="33"/>
      <c r="BAL191" s="33"/>
      <c r="BAV191" s="33"/>
      <c r="BBF191" s="33"/>
      <c r="BBP191" s="33"/>
      <c r="BBZ191" s="33"/>
      <c r="BCJ191" s="33"/>
      <c r="BCT191" s="33"/>
      <c r="BDD191" s="33"/>
      <c r="BDN191" s="33"/>
      <c r="BDX191" s="33"/>
      <c r="BEH191" s="33"/>
      <c r="BER191" s="33"/>
      <c r="BFB191" s="33"/>
      <c r="BFL191" s="33"/>
      <c r="BFV191" s="33"/>
      <c r="BGF191" s="33"/>
      <c r="BGP191" s="33"/>
      <c r="BGZ191" s="33"/>
      <c r="BHJ191" s="33"/>
      <c r="BHT191" s="33"/>
      <c r="BID191" s="33"/>
      <c r="BIN191" s="33"/>
      <c r="BIX191" s="33"/>
      <c r="BJH191" s="33"/>
      <c r="BJR191" s="33"/>
      <c r="BKB191" s="33"/>
      <c r="BKL191" s="33"/>
      <c r="BKV191" s="33"/>
      <c r="BLF191" s="33"/>
      <c r="BLP191" s="33"/>
      <c r="BLZ191" s="33"/>
      <c r="BMJ191" s="33"/>
      <c r="BMT191" s="33"/>
      <c r="BND191" s="33"/>
      <c r="BNN191" s="33"/>
      <c r="BNX191" s="33"/>
      <c r="BOH191" s="33"/>
      <c r="BOR191" s="33"/>
      <c r="BPB191" s="33"/>
      <c r="BPL191" s="33"/>
      <c r="BPV191" s="33"/>
      <c r="BQF191" s="33"/>
      <c r="BQP191" s="33"/>
      <c r="BQZ191" s="33"/>
      <c r="BRJ191" s="33"/>
      <c r="BRT191" s="33"/>
      <c r="BSD191" s="33"/>
      <c r="BSN191" s="33"/>
      <c r="BSX191" s="33"/>
      <c r="BTH191" s="33"/>
      <c r="BTR191" s="33"/>
      <c r="BUB191" s="33"/>
      <c r="BUL191" s="33"/>
      <c r="BUV191" s="33"/>
      <c r="BVF191" s="33"/>
      <c r="BVP191" s="33"/>
      <c r="BVZ191" s="33"/>
      <c r="BWJ191" s="33"/>
      <c r="BWT191" s="33"/>
      <c r="BXD191" s="33"/>
      <c r="BXN191" s="33"/>
      <c r="BXX191" s="33"/>
      <c r="BYH191" s="33"/>
      <c r="BYR191" s="33"/>
      <c r="BZB191" s="33"/>
      <c r="BZL191" s="33"/>
      <c r="BZV191" s="33"/>
      <c r="CAF191" s="33"/>
      <c r="CAP191" s="33"/>
      <c r="CAZ191" s="33"/>
      <c r="CBJ191" s="33"/>
      <c r="CBT191" s="33"/>
      <c r="CCD191" s="33"/>
      <c r="CCN191" s="33"/>
      <c r="CCX191" s="33"/>
      <c r="CDH191" s="33"/>
      <c r="CDR191" s="33"/>
      <c r="CEB191" s="33"/>
      <c r="CEL191" s="33"/>
      <c r="CEV191" s="33"/>
      <c r="CFF191" s="33"/>
      <c r="CFP191" s="33"/>
      <c r="CFZ191" s="33"/>
      <c r="CGJ191" s="33"/>
      <c r="CGT191" s="33"/>
      <c r="CHD191" s="33"/>
      <c r="CHN191" s="33"/>
      <c r="CHX191" s="33"/>
      <c r="CIH191" s="33"/>
      <c r="CIR191" s="33"/>
      <c r="CJB191" s="33"/>
      <c r="CJL191" s="33"/>
      <c r="CJV191" s="33"/>
      <c r="CKF191" s="33"/>
      <c r="CKP191" s="33"/>
      <c r="CKZ191" s="33"/>
      <c r="CLJ191" s="33"/>
      <c r="CLT191" s="33"/>
      <c r="CMD191" s="33"/>
      <c r="CMN191" s="33"/>
      <c r="CMX191" s="33"/>
      <c r="CNH191" s="33"/>
      <c r="CNR191" s="33"/>
      <c r="COB191" s="33"/>
      <c r="COL191" s="33"/>
      <c r="COV191" s="33"/>
      <c r="CPF191" s="33"/>
      <c r="CPP191" s="33"/>
      <c r="CPZ191" s="33"/>
      <c r="CQJ191" s="33"/>
      <c r="CQT191" s="33"/>
      <c r="CRD191" s="33"/>
      <c r="CRN191" s="33"/>
      <c r="CRX191" s="33"/>
      <c r="CSH191" s="33"/>
      <c r="CSR191" s="33"/>
      <c r="CTB191" s="33"/>
      <c r="CTL191" s="33"/>
      <c r="CTV191" s="33"/>
    </row>
    <row r="192" s="16" customFormat="1" customHeight="1" spans="1:1020 1030:2040 2050:2570">
      <c r="A192" s="57"/>
      <c r="B192" s="52"/>
      <c r="C192" s="52"/>
      <c r="D192" s="52"/>
      <c r="E192" s="52"/>
      <c r="F192" s="58" t="str">
        <f>IFERROR(VLOOKUP(E192,日报!E:G,2,0),"")</f>
        <v/>
      </c>
      <c r="G192" s="52"/>
      <c r="H192" s="53" t="str">
        <f>IFERROR(VLOOKUP(E192,基础数据!$E$4:$H$4,4,0),"")</f>
        <v/>
      </c>
      <c r="I192" s="53" t="str">
        <f>IFERROR(VLOOKUP(E192,基础数据!$E$4:$H$4,3,0),"")</f>
        <v/>
      </c>
      <c r="J192" s="52"/>
      <c r="K192" s="54" t="str">
        <f t="shared" si="3"/>
        <v/>
      </c>
      <c r="T192" s="33"/>
      <c r="AD192" s="33"/>
      <c r="AN192" s="33"/>
      <c r="AX192" s="33"/>
      <c r="BH192" s="33"/>
      <c r="BR192" s="33"/>
      <c r="CB192" s="33"/>
      <c r="CL192" s="33"/>
      <c r="CV192" s="33"/>
      <c r="DF192" s="33"/>
      <c r="DP192" s="33"/>
      <c r="DZ192" s="33"/>
      <c r="EJ192" s="33"/>
      <c r="ET192" s="33"/>
      <c r="FD192" s="33"/>
      <c r="FN192" s="33"/>
      <c r="FX192" s="33"/>
      <c r="GH192" s="33"/>
      <c r="GR192" s="33"/>
      <c r="HB192" s="33"/>
      <c r="HL192" s="33"/>
      <c r="HV192" s="33"/>
      <c r="IF192" s="33"/>
      <c r="IP192" s="33"/>
      <c r="IZ192" s="33"/>
      <c r="JJ192" s="33"/>
      <c r="JT192" s="33"/>
      <c r="KD192" s="33"/>
      <c r="KN192" s="33"/>
      <c r="KX192" s="33"/>
      <c r="LH192" s="33"/>
      <c r="LR192" s="33"/>
      <c r="MB192" s="33"/>
      <c r="ML192" s="33"/>
      <c r="MV192" s="33"/>
      <c r="NF192" s="33"/>
      <c r="NP192" s="33"/>
      <c r="NZ192" s="33"/>
      <c r="OJ192" s="33"/>
      <c r="OT192" s="33"/>
      <c r="PD192" s="33"/>
      <c r="PN192" s="33"/>
      <c r="PX192" s="33"/>
      <c r="QH192" s="33"/>
      <c r="QR192" s="33"/>
      <c r="RB192" s="33"/>
      <c r="RL192" s="33"/>
      <c r="RV192" s="33"/>
      <c r="SF192" s="33"/>
      <c r="SP192" s="33"/>
      <c r="SZ192" s="33"/>
      <c r="TJ192" s="33"/>
      <c r="TT192" s="33"/>
      <c r="UD192" s="33"/>
      <c r="UN192" s="33"/>
      <c r="UX192" s="33"/>
      <c r="VH192" s="33"/>
      <c r="VR192" s="33"/>
      <c r="WB192" s="33"/>
      <c r="WL192" s="33"/>
      <c r="WV192" s="33"/>
      <c r="XF192" s="33"/>
      <c r="XP192" s="33"/>
      <c r="XZ192" s="33"/>
      <c r="YJ192" s="33"/>
      <c r="YT192" s="33"/>
      <c r="ZD192" s="33"/>
      <c r="ZN192" s="33"/>
      <c r="ZX192" s="33"/>
      <c r="AAH192" s="33"/>
      <c r="AAR192" s="33"/>
      <c r="ABB192" s="33"/>
      <c r="ABL192" s="33"/>
      <c r="ABV192" s="33"/>
      <c r="ACF192" s="33"/>
      <c r="ACP192" s="33"/>
      <c r="ACZ192" s="33"/>
      <c r="ADJ192" s="33"/>
      <c r="ADT192" s="33"/>
      <c r="AED192" s="33"/>
      <c r="AEN192" s="33"/>
      <c r="AEX192" s="33"/>
      <c r="AFH192" s="33"/>
      <c r="AFR192" s="33"/>
      <c r="AGB192" s="33"/>
      <c r="AGL192" s="33"/>
      <c r="AGV192" s="33"/>
      <c r="AHF192" s="33"/>
      <c r="AHP192" s="33"/>
      <c r="AHZ192" s="33"/>
      <c r="AIJ192" s="33"/>
      <c r="AIT192" s="33"/>
      <c r="AJD192" s="33"/>
      <c r="AJN192" s="33"/>
      <c r="AJX192" s="33"/>
      <c r="AKH192" s="33"/>
      <c r="AKR192" s="33"/>
      <c r="ALB192" s="33"/>
      <c r="ALL192" s="33"/>
      <c r="ALV192" s="33"/>
      <c r="AMF192" s="33"/>
      <c r="AMP192" s="33"/>
      <c r="AMZ192" s="33"/>
      <c r="ANJ192" s="33"/>
      <c r="ANT192" s="33"/>
      <c r="AOD192" s="33"/>
      <c r="AON192" s="33"/>
      <c r="AOX192" s="33"/>
      <c r="APH192" s="33"/>
      <c r="APR192" s="33"/>
      <c r="AQB192" s="33"/>
      <c r="AQL192" s="33"/>
      <c r="AQV192" s="33"/>
      <c r="ARF192" s="33"/>
      <c r="ARP192" s="33"/>
      <c r="ARZ192" s="33"/>
      <c r="ASJ192" s="33"/>
      <c r="AST192" s="33"/>
      <c r="ATD192" s="33"/>
      <c r="ATN192" s="33"/>
      <c r="ATX192" s="33"/>
      <c r="AUH192" s="33"/>
      <c r="AUR192" s="33"/>
      <c r="AVB192" s="33"/>
      <c r="AVL192" s="33"/>
      <c r="AVV192" s="33"/>
      <c r="AWF192" s="33"/>
      <c r="AWP192" s="33"/>
      <c r="AWZ192" s="33"/>
      <c r="AXJ192" s="33"/>
      <c r="AXT192" s="33"/>
      <c r="AYD192" s="33"/>
      <c r="AYN192" s="33"/>
      <c r="AYX192" s="33"/>
      <c r="AZH192" s="33"/>
      <c r="AZR192" s="33"/>
      <c r="BAB192" s="33"/>
      <c r="BAL192" s="33"/>
      <c r="BAV192" s="33"/>
      <c r="BBF192" s="33"/>
      <c r="BBP192" s="33"/>
      <c r="BBZ192" s="33"/>
      <c r="BCJ192" s="33"/>
      <c r="BCT192" s="33"/>
      <c r="BDD192" s="33"/>
      <c r="BDN192" s="33"/>
      <c r="BDX192" s="33"/>
      <c r="BEH192" s="33"/>
      <c r="BER192" s="33"/>
      <c r="BFB192" s="33"/>
      <c r="BFL192" s="33"/>
      <c r="BFV192" s="33"/>
      <c r="BGF192" s="33"/>
      <c r="BGP192" s="33"/>
      <c r="BGZ192" s="33"/>
      <c r="BHJ192" s="33"/>
      <c r="BHT192" s="33"/>
      <c r="BID192" s="33"/>
      <c r="BIN192" s="33"/>
      <c r="BIX192" s="33"/>
      <c r="BJH192" s="33"/>
      <c r="BJR192" s="33"/>
      <c r="BKB192" s="33"/>
      <c r="BKL192" s="33"/>
      <c r="BKV192" s="33"/>
      <c r="BLF192" s="33"/>
      <c r="BLP192" s="33"/>
      <c r="BLZ192" s="33"/>
      <c r="BMJ192" s="33"/>
      <c r="BMT192" s="33"/>
      <c r="BND192" s="33"/>
      <c r="BNN192" s="33"/>
      <c r="BNX192" s="33"/>
      <c r="BOH192" s="33"/>
      <c r="BOR192" s="33"/>
      <c r="BPB192" s="33"/>
      <c r="BPL192" s="33"/>
      <c r="BPV192" s="33"/>
      <c r="BQF192" s="33"/>
      <c r="BQP192" s="33"/>
      <c r="BQZ192" s="33"/>
      <c r="BRJ192" s="33"/>
      <c r="BRT192" s="33"/>
      <c r="BSD192" s="33"/>
      <c r="BSN192" s="33"/>
      <c r="BSX192" s="33"/>
      <c r="BTH192" s="33"/>
      <c r="BTR192" s="33"/>
      <c r="BUB192" s="33"/>
      <c r="BUL192" s="33"/>
      <c r="BUV192" s="33"/>
      <c r="BVF192" s="33"/>
      <c r="BVP192" s="33"/>
      <c r="BVZ192" s="33"/>
      <c r="BWJ192" s="33"/>
      <c r="BWT192" s="33"/>
      <c r="BXD192" s="33"/>
      <c r="BXN192" s="33"/>
      <c r="BXX192" s="33"/>
      <c r="BYH192" s="33"/>
      <c r="BYR192" s="33"/>
      <c r="BZB192" s="33"/>
      <c r="BZL192" s="33"/>
      <c r="BZV192" s="33"/>
      <c r="CAF192" s="33"/>
      <c r="CAP192" s="33"/>
      <c r="CAZ192" s="33"/>
      <c r="CBJ192" s="33"/>
      <c r="CBT192" s="33"/>
      <c r="CCD192" s="33"/>
      <c r="CCN192" s="33"/>
      <c r="CCX192" s="33"/>
      <c r="CDH192" s="33"/>
      <c r="CDR192" s="33"/>
      <c r="CEB192" s="33"/>
      <c r="CEL192" s="33"/>
      <c r="CEV192" s="33"/>
      <c r="CFF192" s="33"/>
      <c r="CFP192" s="33"/>
      <c r="CFZ192" s="33"/>
      <c r="CGJ192" s="33"/>
      <c r="CGT192" s="33"/>
      <c r="CHD192" s="33"/>
      <c r="CHN192" s="33"/>
      <c r="CHX192" s="33"/>
      <c r="CIH192" s="33"/>
      <c r="CIR192" s="33"/>
      <c r="CJB192" s="33"/>
      <c r="CJL192" s="33"/>
      <c r="CJV192" s="33"/>
      <c r="CKF192" s="33"/>
      <c r="CKP192" s="33"/>
      <c r="CKZ192" s="33"/>
      <c r="CLJ192" s="33"/>
      <c r="CLT192" s="33"/>
      <c r="CMD192" s="33"/>
      <c r="CMN192" s="33"/>
      <c r="CMX192" s="33"/>
      <c r="CNH192" s="33"/>
      <c r="CNR192" s="33"/>
      <c r="COB192" s="33"/>
      <c r="COL192" s="33"/>
      <c r="COV192" s="33"/>
      <c r="CPF192" s="33"/>
      <c r="CPP192" s="33"/>
      <c r="CPZ192" s="33"/>
      <c r="CQJ192" s="33"/>
      <c r="CQT192" s="33"/>
      <c r="CRD192" s="33"/>
      <c r="CRN192" s="33"/>
      <c r="CRX192" s="33"/>
      <c r="CSH192" s="33"/>
      <c r="CSR192" s="33"/>
      <c r="CTB192" s="33"/>
      <c r="CTL192" s="33"/>
      <c r="CTV192" s="33"/>
    </row>
    <row r="193" s="16" customFormat="1" customHeight="1" spans="1:1020 1030:2040 2050:2570">
      <c r="A193" s="57"/>
      <c r="B193" s="52"/>
      <c r="C193" s="52"/>
      <c r="D193" s="52"/>
      <c r="E193" s="52"/>
      <c r="F193" s="58" t="str">
        <f>IFERROR(VLOOKUP(E193,日报!E:G,2,0),"")</f>
        <v/>
      </c>
      <c r="G193" s="52"/>
      <c r="H193" s="53" t="str">
        <f>IFERROR(VLOOKUP(E193,基础数据!$E$4:$H$4,4,0),"")</f>
        <v/>
      </c>
      <c r="I193" s="53" t="str">
        <f>IFERROR(VLOOKUP(E193,基础数据!$E$4:$H$4,3,0),"")</f>
        <v/>
      </c>
      <c r="J193" s="52"/>
      <c r="K193" s="54" t="str">
        <f t="shared" si="3"/>
        <v/>
      </c>
      <c r="T193" s="33"/>
      <c r="AD193" s="33"/>
      <c r="AN193" s="33"/>
      <c r="AX193" s="33"/>
      <c r="BH193" s="33"/>
      <c r="BR193" s="33"/>
      <c r="CB193" s="33"/>
      <c r="CL193" s="33"/>
      <c r="CV193" s="33"/>
      <c r="DF193" s="33"/>
      <c r="DP193" s="33"/>
      <c r="DZ193" s="33"/>
      <c r="EJ193" s="33"/>
      <c r="ET193" s="33"/>
      <c r="FD193" s="33"/>
      <c r="FN193" s="33"/>
      <c r="FX193" s="33"/>
      <c r="GH193" s="33"/>
      <c r="GR193" s="33"/>
      <c r="HB193" s="33"/>
      <c r="HL193" s="33"/>
      <c r="HV193" s="33"/>
      <c r="IF193" s="33"/>
      <c r="IP193" s="33"/>
      <c r="IZ193" s="33"/>
      <c r="JJ193" s="33"/>
      <c r="JT193" s="33"/>
      <c r="KD193" s="33"/>
      <c r="KN193" s="33"/>
      <c r="KX193" s="33"/>
      <c r="LH193" s="33"/>
      <c r="LR193" s="33"/>
      <c r="MB193" s="33"/>
      <c r="ML193" s="33"/>
      <c r="MV193" s="33"/>
      <c r="NF193" s="33"/>
      <c r="NP193" s="33"/>
      <c r="NZ193" s="33"/>
      <c r="OJ193" s="33"/>
      <c r="OT193" s="33"/>
      <c r="PD193" s="33"/>
      <c r="PN193" s="33"/>
      <c r="PX193" s="33"/>
      <c r="QH193" s="33"/>
      <c r="QR193" s="33"/>
      <c r="RB193" s="33"/>
      <c r="RL193" s="33"/>
      <c r="RV193" s="33"/>
      <c r="SF193" s="33"/>
      <c r="SP193" s="33"/>
      <c r="SZ193" s="33"/>
      <c r="TJ193" s="33"/>
      <c r="TT193" s="33"/>
      <c r="UD193" s="33"/>
      <c r="UN193" s="33"/>
      <c r="UX193" s="33"/>
      <c r="VH193" s="33"/>
      <c r="VR193" s="33"/>
      <c r="WB193" s="33"/>
      <c r="WL193" s="33"/>
      <c r="WV193" s="33"/>
      <c r="XF193" s="33"/>
      <c r="XP193" s="33"/>
      <c r="XZ193" s="33"/>
      <c r="YJ193" s="33"/>
      <c r="YT193" s="33"/>
      <c r="ZD193" s="33"/>
      <c r="ZN193" s="33"/>
      <c r="ZX193" s="33"/>
      <c r="AAH193" s="33"/>
      <c r="AAR193" s="33"/>
      <c r="ABB193" s="33"/>
      <c r="ABL193" s="33"/>
      <c r="ABV193" s="33"/>
      <c r="ACF193" s="33"/>
      <c r="ACP193" s="33"/>
      <c r="ACZ193" s="33"/>
      <c r="ADJ193" s="33"/>
      <c r="ADT193" s="33"/>
      <c r="AED193" s="33"/>
      <c r="AEN193" s="33"/>
      <c r="AEX193" s="33"/>
      <c r="AFH193" s="33"/>
      <c r="AFR193" s="33"/>
      <c r="AGB193" s="33"/>
      <c r="AGL193" s="33"/>
      <c r="AGV193" s="33"/>
      <c r="AHF193" s="33"/>
      <c r="AHP193" s="33"/>
      <c r="AHZ193" s="33"/>
      <c r="AIJ193" s="33"/>
      <c r="AIT193" s="33"/>
      <c r="AJD193" s="33"/>
      <c r="AJN193" s="33"/>
      <c r="AJX193" s="33"/>
      <c r="AKH193" s="33"/>
      <c r="AKR193" s="33"/>
      <c r="ALB193" s="33"/>
      <c r="ALL193" s="33"/>
      <c r="ALV193" s="33"/>
      <c r="AMF193" s="33"/>
      <c r="AMP193" s="33"/>
      <c r="AMZ193" s="33"/>
      <c r="ANJ193" s="33"/>
      <c r="ANT193" s="33"/>
      <c r="AOD193" s="33"/>
      <c r="AON193" s="33"/>
      <c r="AOX193" s="33"/>
      <c r="APH193" s="33"/>
      <c r="APR193" s="33"/>
      <c r="AQB193" s="33"/>
      <c r="AQL193" s="33"/>
      <c r="AQV193" s="33"/>
      <c r="ARF193" s="33"/>
      <c r="ARP193" s="33"/>
      <c r="ARZ193" s="33"/>
      <c r="ASJ193" s="33"/>
      <c r="AST193" s="33"/>
      <c r="ATD193" s="33"/>
      <c r="ATN193" s="33"/>
      <c r="ATX193" s="33"/>
      <c r="AUH193" s="33"/>
      <c r="AUR193" s="33"/>
      <c r="AVB193" s="33"/>
      <c r="AVL193" s="33"/>
      <c r="AVV193" s="33"/>
      <c r="AWF193" s="33"/>
      <c r="AWP193" s="33"/>
      <c r="AWZ193" s="33"/>
      <c r="AXJ193" s="33"/>
      <c r="AXT193" s="33"/>
      <c r="AYD193" s="33"/>
      <c r="AYN193" s="33"/>
      <c r="AYX193" s="33"/>
      <c r="AZH193" s="33"/>
      <c r="AZR193" s="33"/>
      <c r="BAB193" s="33"/>
      <c r="BAL193" s="33"/>
      <c r="BAV193" s="33"/>
      <c r="BBF193" s="33"/>
      <c r="BBP193" s="33"/>
      <c r="BBZ193" s="33"/>
      <c r="BCJ193" s="33"/>
      <c r="BCT193" s="33"/>
      <c r="BDD193" s="33"/>
      <c r="BDN193" s="33"/>
      <c r="BDX193" s="33"/>
      <c r="BEH193" s="33"/>
      <c r="BER193" s="33"/>
      <c r="BFB193" s="33"/>
      <c r="BFL193" s="33"/>
      <c r="BFV193" s="33"/>
      <c r="BGF193" s="33"/>
      <c r="BGP193" s="33"/>
      <c r="BGZ193" s="33"/>
      <c r="BHJ193" s="33"/>
      <c r="BHT193" s="33"/>
      <c r="BID193" s="33"/>
      <c r="BIN193" s="33"/>
      <c r="BIX193" s="33"/>
      <c r="BJH193" s="33"/>
      <c r="BJR193" s="33"/>
      <c r="BKB193" s="33"/>
      <c r="BKL193" s="33"/>
      <c r="BKV193" s="33"/>
      <c r="BLF193" s="33"/>
      <c r="BLP193" s="33"/>
      <c r="BLZ193" s="33"/>
      <c r="BMJ193" s="33"/>
      <c r="BMT193" s="33"/>
      <c r="BND193" s="33"/>
      <c r="BNN193" s="33"/>
      <c r="BNX193" s="33"/>
      <c r="BOH193" s="33"/>
      <c r="BOR193" s="33"/>
      <c r="BPB193" s="33"/>
      <c r="BPL193" s="33"/>
      <c r="BPV193" s="33"/>
      <c r="BQF193" s="33"/>
      <c r="BQP193" s="33"/>
      <c r="BQZ193" s="33"/>
      <c r="BRJ193" s="33"/>
      <c r="BRT193" s="33"/>
      <c r="BSD193" s="33"/>
      <c r="BSN193" s="33"/>
      <c r="BSX193" s="33"/>
      <c r="BTH193" s="33"/>
      <c r="BTR193" s="33"/>
      <c r="BUB193" s="33"/>
      <c r="BUL193" s="33"/>
      <c r="BUV193" s="33"/>
      <c r="BVF193" s="33"/>
      <c r="BVP193" s="33"/>
      <c r="BVZ193" s="33"/>
      <c r="BWJ193" s="33"/>
      <c r="BWT193" s="33"/>
      <c r="BXD193" s="33"/>
      <c r="BXN193" s="33"/>
      <c r="BXX193" s="33"/>
      <c r="BYH193" s="33"/>
      <c r="BYR193" s="33"/>
      <c r="BZB193" s="33"/>
      <c r="BZL193" s="33"/>
      <c r="BZV193" s="33"/>
      <c r="CAF193" s="33"/>
      <c r="CAP193" s="33"/>
      <c r="CAZ193" s="33"/>
      <c r="CBJ193" s="33"/>
      <c r="CBT193" s="33"/>
      <c r="CCD193" s="33"/>
      <c r="CCN193" s="33"/>
      <c r="CCX193" s="33"/>
      <c r="CDH193" s="33"/>
      <c r="CDR193" s="33"/>
      <c r="CEB193" s="33"/>
      <c r="CEL193" s="33"/>
      <c r="CEV193" s="33"/>
      <c r="CFF193" s="33"/>
      <c r="CFP193" s="33"/>
      <c r="CFZ193" s="33"/>
      <c r="CGJ193" s="33"/>
      <c r="CGT193" s="33"/>
      <c r="CHD193" s="33"/>
      <c r="CHN193" s="33"/>
      <c r="CHX193" s="33"/>
      <c r="CIH193" s="33"/>
      <c r="CIR193" s="33"/>
      <c r="CJB193" s="33"/>
      <c r="CJL193" s="33"/>
      <c r="CJV193" s="33"/>
      <c r="CKF193" s="33"/>
      <c r="CKP193" s="33"/>
      <c r="CKZ193" s="33"/>
      <c r="CLJ193" s="33"/>
      <c r="CLT193" s="33"/>
      <c r="CMD193" s="33"/>
      <c r="CMN193" s="33"/>
      <c r="CMX193" s="33"/>
      <c r="CNH193" s="33"/>
      <c r="CNR193" s="33"/>
      <c r="COB193" s="33"/>
      <c r="COL193" s="33"/>
      <c r="COV193" s="33"/>
      <c r="CPF193" s="33"/>
      <c r="CPP193" s="33"/>
      <c r="CPZ193" s="33"/>
      <c r="CQJ193" s="33"/>
      <c r="CQT193" s="33"/>
      <c r="CRD193" s="33"/>
      <c r="CRN193" s="33"/>
      <c r="CRX193" s="33"/>
      <c r="CSH193" s="33"/>
      <c r="CSR193" s="33"/>
      <c r="CTB193" s="33"/>
      <c r="CTL193" s="33"/>
      <c r="CTV193" s="33"/>
    </row>
    <row r="194" s="16" customFormat="1" customHeight="1" spans="1:1020 1030:2040 2050:2570">
      <c r="A194" s="57"/>
      <c r="B194" s="52"/>
      <c r="C194" s="52"/>
      <c r="D194" s="52"/>
      <c r="E194" s="52"/>
      <c r="F194" s="58" t="str">
        <f>IFERROR(VLOOKUP(E194,日报!E:G,2,0),"")</f>
        <v/>
      </c>
      <c r="G194" s="52"/>
      <c r="H194" s="53" t="str">
        <f>IFERROR(VLOOKUP(E194,基础数据!$E$4:$H$4,4,0),"")</f>
        <v/>
      </c>
      <c r="I194" s="53" t="str">
        <f>IFERROR(VLOOKUP(E194,基础数据!$E$4:$H$4,3,0),"")</f>
        <v/>
      </c>
      <c r="J194" s="52"/>
      <c r="K194" s="54" t="str">
        <f t="shared" si="3"/>
        <v/>
      </c>
      <c r="T194" s="33"/>
      <c r="AD194" s="33"/>
      <c r="AN194" s="33"/>
      <c r="AX194" s="33"/>
      <c r="BH194" s="33"/>
      <c r="BR194" s="33"/>
      <c r="CB194" s="33"/>
      <c r="CL194" s="33"/>
      <c r="CV194" s="33"/>
      <c r="DF194" s="33"/>
      <c r="DP194" s="33"/>
      <c r="DZ194" s="33"/>
      <c r="EJ194" s="33"/>
      <c r="ET194" s="33"/>
      <c r="FD194" s="33"/>
      <c r="FN194" s="33"/>
      <c r="FX194" s="33"/>
      <c r="GH194" s="33"/>
      <c r="GR194" s="33"/>
      <c r="HB194" s="33"/>
      <c r="HL194" s="33"/>
      <c r="HV194" s="33"/>
      <c r="IF194" s="33"/>
      <c r="IP194" s="33"/>
      <c r="IZ194" s="33"/>
      <c r="JJ194" s="33"/>
      <c r="JT194" s="33"/>
      <c r="KD194" s="33"/>
      <c r="KN194" s="33"/>
      <c r="KX194" s="33"/>
      <c r="LH194" s="33"/>
      <c r="LR194" s="33"/>
      <c r="MB194" s="33"/>
      <c r="ML194" s="33"/>
      <c r="MV194" s="33"/>
      <c r="NF194" s="33"/>
      <c r="NP194" s="33"/>
      <c r="NZ194" s="33"/>
      <c r="OJ194" s="33"/>
      <c r="OT194" s="33"/>
      <c r="PD194" s="33"/>
      <c r="PN194" s="33"/>
      <c r="PX194" s="33"/>
      <c r="QH194" s="33"/>
      <c r="QR194" s="33"/>
      <c r="RB194" s="33"/>
      <c r="RL194" s="33"/>
      <c r="RV194" s="33"/>
      <c r="SF194" s="33"/>
      <c r="SP194" s="33"/>
      <c r="SZ194" s="33"/>
      <c r="TJ194" s="33"/>
      <c r="TT194" s="33"/>
      <c r="UD194" s="33"/>
      <c r="UN194" s="33"/>
      <c r="UX194" s="33"/>
      <c r="VH194" s="33"/>
      <c r="VR194" s="33"/>
      <c r="WB194" s="33"/>
      <c r="WL194" s="33"/>
      <c r="WV194" s="33"/>
      <c r="XF194" s="33"/>
      <c r="XP194" s="33"/>
      <c r="XZ194" s="33"/>
      <c r="YJ194" s="33"/>
      <c r="YT194" s="33"/>
      <c r="ZD194" s="33"/>
      <c r="ZN194" s="33"/>
      <c r="ZX194" s="33"/>
      <c r="AAH194" s="33"/>
      <c r="AAR194" s="33"/>
      <c r="ABB194" s="33"/>
      <c r="ABL194" s="33"/>
      <c r="ABV194" s="33"/>
      <c r="ACF194" s="33"/>
      <c r="ACP194" s="33"/>
      <c r="ACZ194" s="33"/>
      <c r="ADJ194" s="33"/>
      <c r="ADT194" s="33"/>
      <c r="AED194" s="33"/>
      <c r="AEN194" s="33"/>
      <c r="AEX194" s="33"/>
      <c r="AFH194" s="33"/>
      <c r="AFR194" s="33"/>
      <c r="AGB194" s="33"/>
      <c r="AGL194" s="33"/>
      <c r="AGV194" s="33"/>
      <c r="AHF194" s="33"/>
      <c r="AHP194" s="33"/>
      <c r="AHZ194" s="33"/>
      <c r="AIJ194" s="33"/>
      <c r="AIT194" s="33"/>
      <c r="AJD194" s="33"/>
      <c r="AJN194" s="33"/>
      <c r="AJX194" s="33"/>
      <c r="AKH194" s="33"/>
      <c r="AKR194" s="33"/>
      <c r="ALB194" s="33"/>
      <c r="ALL194" s="33"/>
      <c r="ALV194" s="33"/>
      <c r="AMF194" s="33"/>
      <c r="AMP194" s="33"/>
      <c r="AMZ194" s="33"/>
      <c r="ANJ194" s="33"/>
      <c r="ANT194" s="33"/>
      <c r="AOD194" s="33"/>
      <c r="AON194" s="33"/>
      <c r="AOX194" s="33"/>
      <c r="APH194" s="33"/>
      <c r="APR194" s="33"/>
      <c r="AQB194" s="33"/>
      <c r="AQL194" s="33"/>
      <c r="AQV194" s="33"/>
      <c r="ARF194" s="33"/>
      <c r="ARP194" s="33"/>
      <c r="ARZ194" s="33"/>
      <c r="ASJ194" s="33"/>
      <c r="AST194" s="33"/>
      <c r="ATD194" s="33"/>
      <c r="ATN194" s="33"/>
      <c r="ATX194" s="33"/>
      <c r="AUH194" s="33"/>
      <c r="AUR194" s="33"/>
      <c r="AVB194" s="33"/>
      <c r="AVL194" s="33"/>
      <c r="AVV194" s="33"/>
      <c r="AWF194" s="33"/>
      <c r="AWP194" s="33"/>
      <c r="AWZ194" s="33"/>
      <c r="AXJ194" s="33"/>
      <c r="AXT194" s="33"/>
      <c r="AYD194" s="33"/>
      <c r="AYN194" s="33"/>
      <c r="AYX194" s="33"/>
      <c r="AZH194" s="33"/>
      <c r="AZR194" s="33"/>
      <c r="BAB194" s="33"/>
      <c r="BAL194" s="33"/>
      <c r="BAV194" s="33"/>
      <c r="BBF194" s="33"/>
      <c r="BBP194" s="33"/>
      <c r="BBZ194" s="33"/>
      <c r="BCJ194" s="33"/>
      <c r="BCT194" s="33"/>
      <c r="BDD194" s="33"/>
      <c r="BDN194" s="33"/>
      <c r="BDX194" s="33"/>
      <c r="BEH194" s="33"/>
      <c r="BER194" s="33"/>
      <c r="BFB194" s="33"/>
      <c r="BFL194" s="33"/>
      <c r="BFV194" s="33"/>
      <c r="BGF194" s="33"/>
      <c r="BGP194" s="33"/>
      <c r="BGZ194" s="33"/>
      <c r="BHJ194" s="33"/>
      <c r="BHT194" s="33"/>
      <c r="BID194" s="33"/>
      <c r="BIN194" s="33"/>
      <c r="BIX194" s="33"/>
      <c r="BJH194" s="33"/>
      <c r="BJR194" s="33"/>
      <c r="BKB194" s="33"/>
      <c r="BKL194" s="33"/>
      <c r="BKV194" s="33"/>
      <c r="BLF194" s="33"/>
      <c r="BLP194" s="33"/>
      <c r="BLZ194" s="33"/>
      <c r="BMJ194" s="33"/>
      <c r="BMT194" s="33"/>
      <c r="BND194" s="33"/>
      <c r="BNN194" s="33"/>
      <c r="BNX194" s="33"/>
      <c r="BOH194" s="33"/>
      <c r="BOR194" s="33"/>
      <c r="BPB194" s="33"/>
      <c r="BPL194" s="33"/>
      <c r="BPV194" s="33"/>
      <c r="BQF194" s="33"/>
      <c r="BQP194" s="33"/>
      <c r="BQZ194" s="33"/>
      <c r="BRJ194" s="33"/>
      <c r="BRT194" s="33"/>
      <c r="BSD194" s="33"/>
      <c r="BSN194" s="33"/>
      <c r="BSX194" s="33"/>
      <c r="BTH194" s="33"/>
      <c r="BTR194" s="33"/>
      <c r="BUB194" s="33"/>
      <c r="BUL194" s="33"/>
      <c r="BUV194" s="33"/>
      <c r="BVF194" s="33"/>
      <c r="BVP194" s="33"/>
      <c r="BVZ194" s="33"/>
      <c r="BWJ194" s="33"/>
      <c r="BWT194" s="33"/>
      <c r="BXD194" s="33"/>
      <c r="BXN194" s="33"/>
      <c r="BXX194" s="33"/>
      <c r="BYH194" s="33"/>
      <c r="BYR194" s="33"/>
      <c r="BZB194" s="33"/>
      <c r="BZL194" s="33"/>
      <c r="BZV194" s="33"/>
      <c r="CAF194" s="33"/>
      <c r="CAP194" s="33"/>
      <c r="CAZ194" s="33"/>
      <c r="CBJ194" s="33"/>
      <c r="CBT194" s="33"/>
      <c r="CCD194" s="33"/>
      <c r="CCN194" s="33"/>
      <c r="CCX194" s="33"/>
      <c r="CDH194" s="33"/>
      <c r="CDR194" s="33"/>
      <c r="CEB194" s="33"/>
      <c r="CEL194" s="33"/>
      <c r="CEV194" s="33"/>
      <c r="CFF194" s="33"/>
      <c r="CFP194" s="33"/>
      <c r="CFZ194" s="33"/>
      <c r="CGJ194" s="33"/>
      <c r="CGT194" s="33"/>
      <c r="CHD194" s="33"/>
      <c r="CHN194" s="33"/>
      <c r="CHX194" s="33"/>
      <c r="CIH194" s="33"/>
      <c r="CIR194" s="33"/>
      <c r="CJB194" s="33"/>
      <c r="CJL194" s="33"/>
      <c r="CJV194" s="33"/>
      <c r="CKF194" s="33"/>
      <c r="CKP194" s="33"/>
      <c r="CKZ194" s="33"/>
      <c r="CLJ194" s="33"/>
      <c r="CLT194" s="33"/>
      <c r="CMD194" s="33"/>
      <c r="CMN194" s="33"/>
      <c r="CMX194" s="33"/>
      <c r="CNH194" s="33"/>
      <c r="CNR194" s="33"/>
      <c r="COB194" s="33"/>
      <c r="COL194" s="33"/>
      <c r="COV194" s="33"/>
      <c r="CPF194" s="33"/>
      <c r="CPP194" s="33"/>
      <c r="CPZ194" s="33"/>
      <c r="CQJ194" s="33"/>
      <c r="CQT194" s="33"/>
      <c r="CRD194" s="33"/>
      <c r="CRN194" s="33"/>
      <c r="CRX194" s="33"/>
      <c r="CSH194" s="33"/>
      <c r="CSR194" s="33"/>
      <c r="CTB194" s="33"/>
      <c r="CTL194" s="33"/>
      <c r="CTV194" s="33"/>
    </row>
    <row r="195" s="16" customFormat="1" customHeight="1" spans="1:1020 1030:2040 2050:2570">
      <c r="A195" s="57"/>
      <c r="B195" s="52"/>
      <c r="C195" s="52"/>
      <c r="D195" s="52"/>
      <c r="E195" s="52"/>
      <c r="F195" s="58" t="str">
        <f>IFERROR(VLOOKUP(E195,日报!E:G,2,0),"")</f>
        <v/>
      </c>
      <c r="G195" s="52"/>
      <c r="H195" s="53" t="str">
        <f>IFERROR(VLOOKUP(E195,基础数据!$E$4:$H$4,4,0),"")</f>
        <v/>
      </c>
      <c r="I195" s="53" t="str">
        <f>IFERROR(VLOOKUP(E195,基础数据!$E$4:$H$4,3,0),"")</f>
        <v/>
      </c>
      <c r="J195" s="52"/>
      <c r="K195" s="54" t="str">
        <f t="shared" si="3"/>
        <v/>
      </c>
      <c r="T195" s="33"/>
      <c r="AD195" s="33"/>
      <c r="AN195" s="33"/>
      <c r="AX195" s="33"/>
      <c r="BH195" s="33"/>
      <c r="BR195" s="33"/>
      <c r="CB195" s="33"/>
      <c r="CL195" s="33"/>
      <c r="CV195" s="33"/>
      <c r="DF195" s="33"/>
      <c r="DP195" s="33"/>
      <c r="DZ195" s="33"/>
      <c r="EJ195" s="33"/>
      <c r="ET195" s="33"/>
      <c r="FD195" s="33"/>
      <c r="FN195" s="33"/>
      <c r="FX195" s="33"/>
      <c r="GH195" s="33"/>
      <c r="GR195" s="33"/>
      <c r="HB195" s="33"/>
      <c r="HL195" s="33"/>
      <c r="HV195" s="33"/>
      <c r="IF195" s="33"/>
      <c r="IP195" s="33"/>
      <c r="IZ195" s="33"/>
      <c r="JJ195" s="33"/>
      <c r="JT195" s="33"/>
      <c r="KD195" s="33"/>
      <c r="KN195" s="33"/>
      <c r="KX195" s="33"/>
      <c r="LH195" s="33"/>
      <c r="LR195" s="33"/>
      <c r="MB195" s="33"/>
      <c r="ML195" s="33"/>
      <c r="MV195" s="33"/>
      <c r="NF195" s="33"/>
      <c r="NP195" s="33"/>
      <c r="NZ195" s="33"/>
      <c r="OJ195" s="33"/>
      <c r="OT195" s="33"/>
      <c r="PD195" s="33"/>
      <c r="PN195" s="33"/>
      <c r="PX195" s="33"/>
      <c r="QH195" s="33"/>
      <c r="QR195" s="33"/>
      <c r="RB195" s="33"/>
      <c r="RL195" s="33"/>
      <c r="RV195" s="33"/>
      <c r="SF195" s="33"/>
      <c r="SP195" s="33"/>
      <c r="SZ195" s="33"/>
      <c r="TJ195" s="33"/>
      <c r="TT195" s="33"/>
      <c r="UD195" s="33"/>
      <c r="UN195" s="33"/>
      <c r="UX195" s="33"/>
      <c r="VH195" s="33"/>
      <c r="VR195" s="33"/>
      <c r="WB195" s="33"/>
      <c r="WL195" s="33"/>
      <c r="WV195" s="33"/>
      <c r="XF195" s="33"/>
      <c r="XP195" s="33"/>
      <c r="XZ195" s="33"/>
      <c r="YJ195" s="33"/>
      <c r="YT195" s="33"/>
      <c r="ZD195" s="33"/>
      <c r="ZN195" s="33"/>
      <c r="ZX195" s="33"/>
      <c r="AAH195" s="33"/>
      <c r="AAR195" s="33"/>
      <c r="ABB195" s="33"/>
      <c r="ABL195" s="33"/>
      <c r="ABV195" s="33"/>
      <c r="ACF195" s="33"/>
      <c r="ACP195" s="33"/>
      <c r="ACZ195" s="33"/>
      <c r="ADJ195" s="33"/>
      <c r="ADT195" s="33"/>
      <c r="AED195" s="33"/>
      <c r="AEN195" s="33"/>
      <c r="AEX195" s="33"/>
      <c r="AFH195" s="33"/>
      <c r="AFR195" s="33"/>
      <c r="AGB195" s="33"/>
      <c r="AGL195" s="33"/>
      <c r="AGV195" s="33"/>
      <c r="AHF195" s="33"/>
      <c r="AHP195" s="33"/>
      <c r="AHZ195" s="33"/>
      <c r="AIJ195" s="33"/>
      <c r="AIT195" s="33"/>
      <c r="AJD195" s="33"/>
      <c r="AJN195" s="33"/>
      <c r="AJX195" s="33"/>
      <c r="AKH195" s="33"/>
      <c r="AKR195" s="33"/>
      <c r="ALB195" s="33"/>
      <c r="ALL195" s="33"/>
      <c r="ALV195" s="33"/>
      <c r="AMF195" s="33"/>
      <c r="AMP195" s="33"/>
      <c r="AMZ195" s="33"/>
      <c r="ANJ195" s="33"/>
      <c r="ANT195" s="33"/>
      <c r="AOD195" s="33"/>
      <c r="AON195" s="33"/>
      <c r="AOX195" s="33"/>
      <c r="APH195" s="33"/>
      <c r="APR195" s="33"/>
      <c r="AQB195" s="33"/>
      <c r="AQL195" s="33"/>
      <c r="AQV195" s="33"/>
      <c r="ARF195" s="33"/>
      <c r="ARP195" s="33"/>
      <c r="ARZ195" s="33"/>
      <c r="ASJ195" s="33"/>
      <c r="AST195" s="33"/>
      <c r="ATD195" s="33"/>
      <c r="ATN195" s="33"/>
      <c r="ATX195" s="33"/>
      <c r="AUH195" s="33"/>
      <c r="AUR195" s="33"/>
      <c r="AVB195" s="33"/>
      <c r="AVL195" s="33"/>
      <c r="AVV195" s="33"/>
      <c r="AWF195" s="33"/>
      <c r="AWP195" s="33"/>
      <c r="AWZ195" s="33"/>
      <c r="AXJ195" s="33"/>
      <c r="AXT195" s="33"/>
      <c r="AYD195" s="33"/>
      <c r="AYN195" s="33"/>
      <c r="AYX195" s="33"/>
      <c r="AZH195" s="33"/>
      <c r="AZR195" s="33"/>
      <c r="BAB195" s="33"/>
      <c r="BAL195" s="33"/>
      <c r="BAV195" s="33"/>
      <c r="BBF195" s="33"/>
      <c r="BBP195" s="33"/>
      <c r="BBZ195" s="33"/>
      <c r="BCJ195" s="33"/>
      <c r="BCT195" s="33"/>
      <c r="BDD195" s="33"/>
      <c r="BDN195" s="33"/>
      <c r="BDX195" s="33"/>
      <c r="BEH195" s="33"/>
      <c r="BER195" s="33"/>
      <c r="BFB195" s="33"/>
      <c r="BFL195" s="33"/>
      <c r="BFV195" s="33"/>
      <c r="BGF195" s="33"/>
      <c r="BGP195" s="33"/>
      <c r="BGZ195" s="33"/>
      <c r="BHJ195" s="33"/>
      <c r="BHT195" s="33"/>
      <c r="BID195" s="33"/>
      <c r="BIN195" s="33"/>
      <c r="BIX195" s="33"/>
      <c r="BJH195" s="33"/>
      <c r="BJR195" s="33"/>
      <c r="BKB195" s="33"/>
      <c r="BKL195" s="33"/>
      <c r="BKV195" s="33"/>
      <c r="BLF195" s="33"/>
      <c r="BLP195" s="33"/>
      <c r="BLZ195" s="33"/>
      <c r="BMJ195" s="33"/>
      <c r="BMT195" s="33"/>
      <c r="BND195" s="33"/>
      <c r="BNN195" s="33"/>
      <c r="BNX195" s="33"/>
      <c r="BOH195" s="33"/>
      <c r="BOR195" s="33"/>
      <c r="BPB195" s="33"/>
      <c r="BPL195" s="33"/>
      <c r="BPV195" s="33"/>
      <c r="BQF195" s="33"/>
      <c r="BQP195" s="33"/>
      <c r="BQZ195" s="33"/>
      <c r="BRJ195" s="33"/>
      <c r="BRT195" s="33"/>
      <c r="BSD195" s="33"/>
      <c r="BSN195" s="33"/>
      <c r="BSX195" s="33"/>
      <c r="BTH195" s="33"/>
      <c r="BTR195" s="33"/>
      <c r="BUB195" s="33"/>
      <c r="BUL195" s="33"/>
      <c r="BUV195" s="33"/>
      <c r="BVF195" s="33"/>
      <c r="BVP195" s="33"/>
      <c r="BVZ195" s="33"/>
      <c r="BWJ195" s="33"/>
      <c r="BWT195" s="33"/>
      <c r="BXD195" s="33"/>
      <c r="BXN195" s="33"/>
      <c r="BXX195" s="33"/>
      <c r="BYH195" s="33"/>
      <c r="BYR195" s="33"/>
      <c r="BZB195" s="33"/>
      <c r="BZL195" s="33"/>
      <c r="BZV195" s="33"/>
      <c r="CAF195" s="33"/>
      <c r="CAP195" s="33"/>
      <c r="CAZ195" s="33"/>
      <c r="CBJ195" s="33"/>
      <c r="CBT195" s="33"/>
      <c r="CCD195" s="33"/>
      <c r="CCN195" s="33"/>
      <c r="CCX195" s="33"/>
      <c r="CDH195" s="33"/>
      <c r="CDR195" s="33"/>
      <c r="CEB195" s="33"/>
      <c r="CEL195" s="33"/>
      <c r="CEV195" s="33"/>
      <c r="CFF195" s="33"/>
      <c r="CFP195" s="33"/>
      <c r="CFZ195" s="33"/>
      <c r="CGJ195" s="33"/>
      <c r="CGT195" s="33"/>
      <c r="CHD195" s="33"/>
      <c r="CHN195" s="33"/>
      <c r="CHX195" s="33"/>
      <c r="CIH195" s="33"/>
      <c r="CIR195" s="33"/>
      <c r="CJB195" s="33"/>
      <c r="CJL195" s="33"/>
      <c r="CJV195" s="33"/>
      <c r="CKF195" s="33"/>
      <c r="CKP195" s="33"/>
      <c r="CKZ195" s="33"/>
      <c r="CLJ195" s="33"/>
      <c r="CLT195" s="33"/>
      <c r="CMD195" s="33"/>
      <c r="CMN195" s="33"/>
      <c r="CMX195" s="33"/>
      <c r="CNH195" s="33"/>
      <c r="CNR195" s="33"/>
      <c r="COB195" s="33"/>
      <c r="COL195" s="33"/>
      <c r="COV195" s="33"/>
      <c r="CPF195" s="33"/>
      <c r="CPP195" s="33"/>
      <c r="CPZ195" s="33"/>
      <c r="CQJ195" s="33"/>
      <c r="CQT195" s="33"/>
      <c r="CRD195" s="33"/>
      <c r="CRN195" s="33"/>
      <c r="CRX195" s="33"/>
      <c r="CSH195" s="33"/>
      <c r="CSR195" s="33"/>
      <c r="CTB195" s="33"/>
      <c r="CTL195" s="33"/>
      <c r="CTV195" s="33"/>
    </row>
    <row r="196" s="16" customFormat="1" customHeight="1" spans="1:1020 1030:2040 2050:2570">
      <c r="A196" s="57"/>
      <c r="B196" s="52"/>
      <c r="C196" s="52"/>
      <c r="D196" s="52"/>
      <c r="E196" s="52"/>
      <c r="F196" s="58" t="str">
        <f>IFERROR(VLOOKUP(E196,日报!E:G,2,0),"")</f>
        <v/>
      </c>
      <c r="G196" s="52"/>
      <c r="H196" s="53" t="str">
        <f>IFERROR(VLOOKUP(E196,基础数据!$E$4:$H$4,4,0),"")</f>
        <v/>
      </c>
      <c r="I196" s="53" t="str">
        <f>IFERROR(VLOOKUP(E196,基础数据!$E$4:$H$4,3,0),"")</f>
        <v/>
      </c>
      <c r="J196" s="52"/>
      <c r="K196" s="54" t="str">
        <f t="shared" si="3"/>
        <v/>
      </c>
      <c r="T196" s="33"/>
      <c r="AD196" s="33"/>
      <c r="AN196" s="33"/>
      <c r="AX196" s="33"/>
      <c r="BH196" s="33"/>
      <c r="BR196" s="33"/>
      <c r="CB196" s="33"/>
      <c r="CL196" s="33"/>
      <c r="CV196" s="33"/>
      <c r="DF196" s="33"/>
      <c r="DP196" s="33"/>
      <c r="DZ196" s="33"/>
      <c r="EJ196" s="33"/>
      <c r="ET196" s="33"/>
      <c r="FD196" s="33"/>
      <c r="FN196" s="33"/>
      <c r="FX196" s="33"/>
      <c r="GH196" s="33"/>
      <c r="GR196" s="33"/>
      <c r="HB196" s="33"/>
      <c r="HL196" s="33"/>
      <c r="HV196" s="33"/>
      <c r="IF196" s="33"/>
      <c r="IP196" s="33"/>
      <c r="IZ196" s="33"/>
      <c r="JJ196" s="33"/>
      <c r="JT196" s="33"/>
      <c r="KD196" s="33"/>
      <c r="KN196" s="33"/>
      <c r="KX196" s="33"/>
      <c r="LH196" s="33"/>
      <c r="LR196" s="33"/>
      <c r="MB196" s="33"/>
      <c r="ML196" s="33"/>
      <c r="MV196" s="33"/>
      <c r="NF196" s="33"/>
      <c r="NP196" s="33"/>
      <c r="NZ196" s="33"/>
      <c r="OJ196" s="33"/>
      <c r="OT196" s="33"/>
      <c r="PD196" s="33"/>
      <c r="PN196" s="33"/>
      <c r="PX196" s="33"/>
      <c r="QH196" s="33"/>
      <c r="QR196" s="33"/>
      <c r="RB196" s="33"/>
      <c r="RL196" s="33"/>
      <c r="RV196" s="33"/>
      <c r="SF196" s="33"/>
      <c r="SP196" s="33"/>
      <c r="SZ196" s="33"/>
      <c r="TJ196" s="33"/>
      <c r="TT196" s="33"/>
      <c r="UD196" s="33"/>
      <c r="UN196" s="33"/>
      <c r="UX196" s="33"/>
      <c r="VH196" s="33"/>
      <c r="VR196" s="33"/>
      <c r="WB196" s="33"/>
      <c r="WL196" s="33"/>
      <c r="WV196" s="33"/>
      <c r="XF196" s="33"/>
      <c r="XP196" s="33"/>
      <c r="XZ196" s="33"/>
      <c r="YJ196" s="33"/>
      <c r="YT196" s="33"/>
      <c r="ZD196" s="33"/>
      <c r="ZN196" s="33"/>
      <c r="ZX196" s="33"/>
      <c r="AAH196" s="33"/>
      <c r="AAR196" s="33"/>
      <c r="ABB196" s="33"/>
      <c r="ABL196" s="33"/>
      <c r="ABV196" s="33"/>
      <c r="ACF196" s="33"/>
      <c r="ACP196" s="33"/>
      <c r="ACZ196" s="33"/>
      <c r="ADJ196" s="33"/>
      <c r="ADT196" s="33"/>
      <c r="AED196" s="33"/>
      <c r="AEN196" s="33"/>
      <c r="AEX196" s="33"/>
      <c r="AFH196" s="33"/>
      <c r="AFR196" s="33"/>
      <c r="AGB196" s="33"/>
      <c r="AGL196" s="33"/>
      <c r="AGV196" s="33"/>
      <c r="AHF196" s="33"/>
      <c r="AHP196" s="33"/>
      <c r="AHZ196" s="33"/>
      <c r="AIJ196" s="33"/>
      <c r="AIT196" s="33"/>
      <c r="AJD196" s="33"/>
      <c r="AJN196" s="33"/>
      <c r="AJX196" s="33"/>
      <c r="AKH196" s="33"/>
      <c r="AKR196" s="33"/>
      <c r="ALB196" s="33"/>
      <c r="ALL196" s="33"/>
      <c r="ALV196" s="33"/>
      <c r="AMF196" s="33"/>
      <c r="AMP196" s="33"/>
      <c r="AMZ196" s="33"/>
      <c r="ANJ196" s="33"/>
      <c r="ANT196" s="33"/>
      <c r="AOD196" s="33"/>
      <c r="AON196" s="33"/>
      <c r="AOX196" s="33"/>
      <c r="APH196" s="33"/>
      <c r="APR196" s="33"/>
      <c r="AQB196" s="33"/>
      <c r="AQL196" s="33"/>
      <c r="AQV196" s="33"/>
      <c r="ARF196" s="33"/>
      <c r="ARP196" s="33"/>
      <c r="ARZ196" s="33"/>
      <c r="ASJ196" s="33"/>
      <c r="AST196" s="33"/>
      <c r="ATD196" s="33"/>
      <c r="ATN196" s="33"/>
      <c r="ATX196" s="33"/>
      <c r="AUH196" s="33"/>
      <c r="AUR196" s="33"/>
      <c r="AVB196" s="33"/>
      <c r="AVL196" s="33"/>
      <c r="AVV196" s="33"/>
      <c r="AWF196" s="33"/>
      <c r="AWP196" s="33"/>
      <c r="AWZ196" s="33"/>
      <c r="AXJ196" s="33"/>
      <c r="AXT196" s="33"/>
      <c r="AYD196" s="33"/>
      <c r="AYN196" s="33"/>
      <c r="AYX196" s="33"/>
      <c r="AZH196" s="33"/>
      <c r="AZR196" s="33"/>
      <c r="BAB196" s="33"/>
      <c r="BAL196" s="33"/>
      <c r="BAV196" s="33"/>
      <c r="BBF196" s="33"/>
      <c r="BBP196" s="33"/>
      <c r="BBZ196" s="33"/>
      <c r="BCJ196" s="33"/>
      <c r="BCT196" s="33"/>
      <c r="BDD196" s="33"/>
      <c r="BDN196" s="33"/>
      <c r="BDX196" s="33"/>
      <c r="BEH196" s="33"/>
      <c r="BER196" s="33"/>
      <c r="BFB196" s="33"/>
      <c r="BFL196" s="33"/>
      <c r="BFV196" s="33"/>
      <c r="BGF196" s="33"/>
      <c r="BGP196" s="33"/>
      <c r="BGZ196" s="33"/>
      <c r="BHJ196" s="33"/>
      <c r="BHT196" s="33"/>
      <c r="BID196" s="33"/>
      <c r="BIN196" s="33"/>
      <c r="BIX196" s="33"/>
      <c r="BJH196" s="33"/>
      <c r="BJR196" s="33"/>
      <c r="BKB196" s="33"/>
      <c r="BKL196" s="33"/>
      <c r="BKV196" s="33"/>
      <c r="BLF196" s="33"/>
      <c r="BLP196" s="33"/>
      <c r="BLZ196" s="33"/>
      <c r="BMJ196" s="33"/>
      <c r="BMT196" s="33"/>
      <c r="BND196" s="33"/>
      <c r="BNN196" s="33"/>
      <c r="BNX196" s="33"/>
      <c r="BOH196" s="33"/>
      <c r="BOR196" s="33"/>
      <c r="BPB196" s="33"/>
      <c r="BPL196" s="33"/>
      <c r="BPV196" s="33"/>
      <c r="BQF196" s="33"/>
      <c r="BQP196" s="33"/>
      <c r="BQZ196" s="33"/>
      <c r="BRJ196" s="33"/>
      <c r="BRT196" s="33"/>
      <c r="BSD196" s="33"/>
      <c r="BSN196" s="33"/>
      <c r="BSX196" s="33"/>
      <c r="BTH196" s="33"/>
      <c r="BTR196" s="33"/>
      <c r="BUB196" s="33"/>
      <c r="BUL196" s="33"/>
      <c r="BUV196" s="33"/>
      <c r="BVF196" s="33"/>
      <c r="BVP196" s="33"/>
      <c r="BVZ196" s="33"/>
      <c r="BWJ196" s="33"/>
      <c r="BWT196" s="33"/>
      <c r="BXD196" s="33"/>
      <c r="BXN196" s="33"/>
      <c r="BXX196" s="33"/>
      <c r="BYH196" s="33"/>
      <c r="BYR196" s="33"/>
      <c r="BZB196" s="33"/>
      <c r="BZL196" s="33"/>
      <c r="BZV196" s="33"/>
      <c r="CAF196" s="33"/>
      <c r="CAP196" s="33"/>
      <c r="CAZ196" s="33"/>
      <c r="CBJ196" s="33"/>
      <c r="CBT196" s="33"/>
      <c r="CCD196" s="33"/>
      <c r="CCN196" s="33"/>
      <c r="CCX196" s="33"/>
      <c r="CDH196" s="33"/>
      <c r="CDR196" s="33"/>
      <c r="CEB196" s="33"/>
      <c r="CEL196" s="33"/>
      <c r="CEV196" s="33"/>
      <c r="CFF196" s="33"/>
      <c r="CFP196" s="33"/>
      <c r="CFZ196" s="33"/>
      <c r="CGJ196" s="33"/>
      <c r="CGT196" s="33"/>
      <c r="CHD196" s="33"/>
      <c r="CHN196" s="33"/>
      <c r="CHX196" s="33"/>
      <c r="CIH196" s="33"/>
      <c r="CIR196" s="33"/>
      <c r="CJB196" s="33"/>
      <c r="CJL196" s="33"/>
      <c r="CJV196" s="33"/>
      <c r="CKF196" s="33"/>
      <c r="CKP196" s="33"/>
      <c r="CKZ196" s="33"/>
      <c r="CLJ196" s="33"/>
      <c r="CLT196" s="33"/>
      <c r="CMD196" s="33"/>
      <c r="CMN196" s="33"/>
      <c r="CMX196" s="33"/>
      <c r="CNH196" s="33"/>
      <c r="CNR196" s="33"/>
      <c r="COB196" s="33"/>
      <c r="COL196" s="33"/>
      <c r="COV196" s="33"/>
      <c r="CPF196" s="33"/>
      <c r="CPP196" s="33"/>
      <c r="CPZ196" s="33"/>
      <c r="CQJ196" s="33"/>
      <c r="CQT196" s="33"/>
      <c r="CRD196" s="33"/>
      <c r="CRN196" s="33"/>
      <c r="CRX196" s="33"/>
      <c r="CSH196" s="33"/>
      <c r="CSR196" s="33"/>
      <c r="CTB196" s="33"/>
      <c r="CTL196" s="33"/>
      <c r="CTV196" s="33"/>
    </row>
    <row r="197" s="16" customFormat="1" customHeight="1" spans="1:1020 1030:2040 2050:2570">
      <c r="A197" s="57"/>
      <c r="B197" s="52"/>
      <c r="C197" s="52"/>
      <c r="D197" s="52"/>
      <c r="E197" s="52"/>
      <c r="F197" s="58" t="str">
        <f>IFERROR(VLOOKUP(E197,日报!E:G,2,0),"")</f>
        <v/>
      </c>
      <c r="G197" s="52"/>
      <c r="H197" s="53" t="str">
        <f>IFERROR(VLOOKUP(E197,基础数据!$E$4:$H$4,4,0),"")</f>
        <v/>
      </c>
      <c r="I197" s="53" t="str">
        <f>IFERROR(VLOOKUP(E197,基础数据!$E$4:$H$4,3,0),"")</f>
        <v/>
      </c>
      <c r="J197" s="52"/>
      <c r="K197" s="54" t="str">
        <f t="shared" si="3"/>
        <v/>
      </c>
      <c r="T197" s="33"/>
      <c r="AD197" s="33"/>
      <c r="AN197" s="33"/>
      <c r="AX197" s="33"/>
      <c r="BH197" s="33"/>
      <c r="BR197" s="33"/>
      <c r="CB197" s="33"/>
      <c r="CL197" s="33"/>
      <c r="CV197" s="33"/>
      <c r="DF197" s="33"/>
      <c r="DP197" s="33"/>
      <c r="DZ197" s="33"/>
      <c r="EJ197" s="33"/>
      <c r="ET197" s="33"/>
      <c r="FD197" s="33"/>
      <c r="FN197" s="33"/>
      <c r="FX197" s="33"/>
      <c r="GH197" s="33"/>
      <c r="GR197" s="33"/>
      <c r="HB197" s="33"/>
      <c r="HL197" s="33"/>
      <c r="HV197" s="33"/>
      <c r="IF197" s="33"/>
      <c r="IP197" s="33"/>
      <c r="IZ197" s="33"/>
      <c r="JJ197" s="33"/>
      <c r="JT197" s="33"/>
      <c r="KD197" s="33"/>
      <c r="KN197" s="33"/>
      <c r="KX197" s="33"/>
      <c r="LH197" s="33"/>
      <c r="LR197" s="33"/>
      <c r="MB197" s="33"/>
      <c r="ML197" s="33"/>
      <c r="MV197" s="33"/>
      <c r="NF197" s="33"/>
      <c r="NP197" s="33"/>
      <c r="NZ197" s="33"/>
      <c r="OJ197" s="33"/>
      <c r="OT197" s="33"/>
      <c r="PD197" s="33"/>
      <c r="PN197" s="33"/>
      <c r="PX197" s="33"/>
      <c r="QH197" s="33"/>
      <c r="QR197" s="33"/>
      <c r="RB197" s="33"/>
      <c r="RL197" s="33"/>
      <c r="RV197" s="33"/>
      <c r="SF197" s="33"/>
      <c r="SP197" s="33"/>
      <c r="SZ197" s="33"/>
      <c r="TJ197" s="33"/>
      <c r="TT197" s="33"/>
      <c r="UD197" s="33"/>
      <c r="UN197" s="33"/>
      <c r="UX197" s="33"/>
      <c r="VH197" s="33"/>
      <c r="VR197" s="33"/>
      <c r="WB197" s="33"/>
      <c r="WL197" s="33"/>
      <c r="WV197" s="33"/>
      <c r="XF197" s="33"/>
      <c r="XP197" s="33"/>
      <c r="XZ197" s="33"/>
      <c r="YJ197" s="33"/>
      <c r="YT197" s="33"/>
      <c r="ZD197" s="33"/>
      <c r="ZN197" s="33"/>
      <c r="ZX197" s="33"/>
      <c r="AAH197" s="33"/>
      <c r="AAR197" s="33"/>
      <c r="ABB197" s="33"/>
      <c r="ABL197" s="33"/>
      <c r="ABV197" s="33"/>
      <c r="ACF197" s="33"/>
      <c r="ACP197" s="33"/>
      <c r="ACZ197" s="33"/>
      <c r="ADJ197" s="33"/>
      <c r="ADT197" s="33"/>
      <c r="AED197" s="33"/>
      <c r="AEN197" s="33"/>
      <c r="AEX197" s="33"/>
      <c r="AFH197" s="33"/>
      <c r="AFR197" s="33"/>
      <c r="AGB197" s="33"/>
      <c r="AGL197" s="33"/>
      <c r="AGV197" s="33"/>
      <c r="AHF197" s="33"/>
      <c r="AHP197" s="33"/>
      <c r="AHZ197" s="33"/>
      <c r="AIJ197" s="33"/>
      <c r="AIT197" s="33"/>
      <c r="AJD197" s="33"/>
      <c r="AJN197" s="33"/>
      <c r="AJX197" s="33"/>
      <c r="AKH197" s="33"/>
      <c r="AKR197" s="33"/>
      <c r="ALB197" s="33"/>
      <c r="ALL197" s="33"/>
      <c r="ALV197" s="33"/>
      <c r="AMF197" s="33"/>
      <c r="AMP197" s="33"/>
      <c r="AMZ197" s="33"/>
      <c r="ANJ197" s="33"/>
      <c r="ANT197" s="33"/>
      <c r="AOD197" s="33"/>
      <c r="AON197" s="33"/>
      <c r="AOX197" s="33"/>
      <c r="APH197" s="33"/>
      <c r="APR197" s="33"/>
      <c r="AQB197" s="33"/>
      <c r="AQL197" s="33"/>
      <c r="AQV197" s="33"/>
      <c r="ARF197" s="33"/>
      <c r="ARP197" s="33"/>
      <c r="ARZ197" s="33"/>
      <c r="ASJ197" s="33"/>
      <c r="AST197" s="33"/>
      <c r="ATD197" s="33"/>
      <c r="ATN197" s="33"/>
      <c r="ATX197" s="33"/>
      <c r="AUH197" s="33"/>
      <c r="AUR197" s="33"/>
      <c r="AVB197" s="33"/>
      <c r="AVL197" s="33"/>
      <c r="AVV197" s="33"/>
      <c r="AWF197" s="33"/>
      <c r="AWP197" s="33"/>
      <c r="AWZ197" s="33"/>
      <c r="AXJ197" s="33"/>
      <c r="AXT197" s="33"/>
      <c r="AYD197" s="33"/>
      <c r="AYN197" s="33"/>
      <c r="AYX197" s="33"/>
      <c r="AZH197" s="33"/>
      <c r="AZR197" s="33"/>
      <c r="BAB197" s="33"/>
      <c r="BAL197" s="33"/>
      <c r="BAV197" s="33"/>
      <c r="BBF197" s="33"/>
      <c r="BBP197" s="33"/>
      <c r="BBZ197" s="33"/>
      <c r="BCJ197" s="33"/>
      <c r="BCT197" s="33"/>
      <c r="BDD197" s="33"/>
      <c r="BDN197" s="33"/>
      <c r="BDX197" s="33"/>
      <c r="BEH197" s="33"/>
      <c r="BER197" s="33"/>
      <c r="BFB197" s="33"/>
      <c r="BFL197" s="33"/>
      <c r="BFV197" s="33"/>
      <c r="BGF197" s="33"/>
      <c r="BGP197" s="33"/>
      <c r="BGZ197" s="33"/>
      <c r="BHJ197" s="33"/>
      <c r="BHT197" s="33"/>
      <c r="BID197" s="33"/>
      <c r="BIN197" s="33"/>
      <c r="BIX197" s="33"/>
      <c r="BJH197" s="33"/>
      <c r="BJR197" s="33"/>
      <c r="BKB197" s="33"/>
      <c r="BKL197" s="33"/>
      <c r="BKV197" s="33"/>
      <c r="BLF197" s="33"/>
      <c r="BLP197" s="33"/>
      <c r="BLZ197" s="33"/>
      <c r="BMJ197" s="33"/>
      <c r="BMT197" s="33"/>
      <c r="BND197" s="33"/>
      <c r="BNN197" s="33"/>
      <c r="BNX197" s="33"/>
      <c r="BOH197" s="33"/>
      <c r="BOR197" s="33"/>
      <c r="BPB197" s="33"/>
      <c r="BPL197" s="33"/>
      <c r="BPV197" s="33"/>
      <c r="BQF197" s="33"/>
      <c r="BQP197" s="33"/>
      <c r="BQZ197" s="33"/>
      <c r="BRJ197" s="33"/>
      <c r="BRT197" s="33"/>
      <c r="BSD197" s="33"/>
      <c r="BSN197" s="33"/>
      <c r="BSX197" s="33"/>
      <c r="BTH197" s="33"/>
      <c r="BTR197" s="33"/>
      <c r="BUB197" s="33"/>
      <c r="BUL197" s="33"/>
      <c r="BUV197" s="33"/>
      <c r="BVF197" s="33"/>
      <c r="BVP197" s="33"/>
      <c r="BVZ197" s="33"/>
      <c r="BWJ197" s="33"/>
      <c r="BWT197" s="33"/>
      <c r="BXD197" s="33"/>
      <c r="BXN197" s="33"/>
      <c r="BXX197" s="33"/>
      <c r="BYH197" s="33"/>
      <c r="BYR197" s="33"/>
      <c r="BZB197" s="33"/>
      <c r="BZL197" s="33"/>
      <c r="BZV197" s="33"/>
      <c r="CAF197" s="33"/>
      <c r="CAP197" s="33"/>
      <c r="CAZ197" s="33"/>
      <c r="CBJ197" s="33"/>
      <c r="CBT197" s="33"/>
      <c r="CCD197" s="33"/>
      <c r="CCN197" s="33"/>
      <c r="CCX197" s="33"/>
      <c r="CDH197" s="33"/>
      <c r="CDR197" s="33"/>
      <c r="CEB197" s="33"/>
      <c r="CEL197" s="33"/>
      <c r="CEV197" s="33"/>
      <c r="CFF197" s="33"/>
      <c r="CFP197" s="33"/>
      <c r="CFZ197" s="33"/>
      <c r="CGJ197" s="33"/>
      <c r="CGT197" s="33"/>
      <c r="CHD197" s="33"/>
      <c r="CHN197" s="33"/>
      <c r="CHX197" s="33"/>
      <c r="CIH197" s="33"/>
      <c r="CIR197" s="33"/>
      <c r="CJB197" s="33"/>
      <c r="CJL197" s="33"/>
      <c r="CJV197" s="33"/>
      <c r="CKF197" s="33"/>
      <c r="CKP197" s="33"/>
      <c r="CKZ197" s="33"/>
      <c r="CLJ197" s="33"/>
      <c r="CLT197" s="33"/>
      <c r="CMD197" s="33"/>
      <c r="CMN197" s="33"/>
      <c r="CMX197" s="33"/>
      <c r="CNH197" s="33"/>
      <c r="CNR197" s="33"/>
      <c r="COB197" s="33"/>
      <c r="COL197" s="33"/>
      <c r="COV197" s="33"/>
      <c r="CPF197" s="33"/>
      <c r="CPP197" s="33"/>
      <c r="CPZ197" s="33"/>
      <c r="CQJ197" s="33"/>
      <c r="CQT197" s="33"/>
      <c r="CRD197" s="33"/>
      <c r="CRN197" s="33"/>
      <c r="CRX197" s="33"/>
      <c r="CSH197" s="33"/>
      <c r="CSR197" s="33"/>
      <c r="CTB197" s="33"/>
      <c r="CTL197" s="33"/>
      <c r="CTV197" s="33"/>
    </row>
    <row r="198" s="16" customFormat="1" customHeight="1" spans="1:1020 1030:2040 2050:2570">
      <c r="A198" s="57"/>
      <c r="B198" s="52"/>
      <c r="C198" s="52"/>
      <c r="D198" s="52"/>
      <c r="E198" s="52"/>
      <c r="F198" s="58" t="str">
        <f>IFERROR(VLOOKUP(E198,日报!E:G,2,0),"")</f>
        <v/>
      </c>
      <c r="G198" s="52"/>
      <c r="H198" s="53" t="str">
        <f>IFERROR(VLOOKUP(E198,基础数据!$E$4:$H$4,4,0),"")</f>
        <v/>
      </c>
      <c r="I198" s="53" t="str">
        <f>IFERROR(VLOOKUP(E198,基础数据!$E$4:$H$4,3,0),"")</f>
        <v/>
      </c>
      <c r="J198" s="52"/>
      <c r="K198" s="54" t="str">
        <f t="shared" si="3"/>
        <v/>
      </c>
      <c r="T198" s="33"/>
      <c r="AD198" s="33"/>
      <c r="AN198" s="33"/>
      <c r="AX198" s="33"/>
      <c r="BH198" s="33"/>
      <c r="BR198" s="33"/>
      <c r="CB198" s="33"/>
      <c r="CL198" s="33"/>
      <c r="CV198" s="33"/>
      <c r="DF198" s="33"/>
      <c r="DP198" s="33"/>
      <c r="DZ198" s="33"/>
      <c r="EJ198" s="33"/>
      <c r="ET198" s="33"/>
      <c r="FD198" s="33"/>
      <c r="FN198" s="33"/>
      <c r="FX198" s="33"/>
      <c r="GH198" s="33"/>
      <c r="GR198" s="33"/>
      <c r="HB198" s="33"/>
      <c r="HL198" s="33"/>
      <c r="HV198" s="33"/>
      <c r="IF198" s="33"/>
      <c r="IP198" s="33"/>
      <c r="IZ198" s="33"/>
      <c r="JJ198" s="33"/>
      <c r="JT198" s="33"/>
      <c r="KD198" s="33"/>
      <c r="KN198" s="33"/>
      <c r="KX198" s="33"/>
      <c r="LH198" s="33"/>
      <c r="LR198" s="33"/>
      <c r="MB198" s="33"/>
      <c r="ML198" s="33"/>
      <c r="MV198" s="33"/>
      <c r="NF198" s="33"/>
      <c r="NP198" s="33"/>
      <c r="NZ198" s="33"/>
      <c r="OJ198" s="33"/>
      <c r="OT198" s="33"/>
      <c r="PD198" s="33"/>
      <c r="PN198" s="33"/>
      <c r="PX198" s="33"/>
      <c r="QH198" s="33"/>
      <c r="QR198" s="33"/>
      <c r="RB198" s="33"/>
      <c r="RL198" s="33"/>
      <c r="RV198" s="33"/>
      <c r="SF198" s="33"/>
      <c r="SP198" s="33"/>
      <c r="SZ198" s="33"/>
      <c r="TJ198" s="33"/>
      <c r="TT198" s="33"/>
      <c r="UD198" s="33"/>
      <c r="UN198" s="33"/>
      <c r="UX198" s="33"/>
      <c r="VH198" s="33"/>
      <c r="VR198" s="33"/>
      <c r="WB198" s="33"/>
      <c r="WL198" s="33"/>
      <c r="WV198" s="33"/>
      <c r="XF198" s="33"/>
      <c r="XP198" s="33"/>
      <c r="XZ198" s="33"/>
      <c r="YJ198" s="33"/>
      <c r="YT198" s="33"/>
      <c r="ZD198" s="33"/>
      <c r="ZN198" s="33"/>
      <c r="ZX198" s="33"/>
      <c r="AAH198" s="33"/>
      <c r="AAR198" s="33"/>
      <c r="ABB198" s="33"/>
      <c r="ABL198" s="33"/>
      <c r="ABV198" s="33"/>
      <c r="ACF198" s="33"/>
      <c r="ACP198" s="33"/>
      <c r="ACZ198" s="33"/>
      <c r="ADJ198" s="33"/>
      <c r="ADT198" s="33"/>
      <c r="AED198" s="33"/>
      <c r="AEN198" s="33"/>
      <c r="AEX198" s="33"/>
      <c r="AFH198" s="33"/>
      <c r="AFR198" s="33"/>
      <c r="AGB198" s="33"/>
      <c r="AGL198" s="33"/>
      <c r="AGV198" s="33"/>
      <c r="AHF198" s="33"/>
      <c r="AHP198" s="33"/>
      <c r="AHZ198" s="33"/>
      <c r="AIJ198" s="33"/>
      <c r="AIT198" s="33"/>
      <c r="AJD198" s="33"/>
      <c r="AJN198" s="33"/>
      <c r="AJX198" s="33"/>
      <c r="AKH198" s="33"/>
      <c r="AKR198" s="33"/>
      <c r="ALB198" s="33"/>
      <c r="ALL198" s="33"/>
      <c r="ALV198" s="33"/>
      <c r="AMF198" s="33"/>
      <c r="AMP198" s="33"/>
      <c r="AMZ198" s="33"/>
      <c r="ANJ198" s="33"/>
      <c r="ANT198" s="33"/>
      <c r="AOD198" s="33"/>
      <c r="AON198" s="33"/>
      <c r="AOX198" s="33"/>
      <c r="APH198" s="33"/>
      <c r="APR198" s="33"/>
      <c r="AQB198" s="33"/>
      <c r="AQL198" s="33"/>
      <c r="AQV198" s="33"/>
      <c r="ARF198" s="33"/>
      <c r="ARP198" s="33"/>
      <c r="ARZ198" s="33"/>
      <c r="ASJ198" s="33"/>
      <c r="AST198" s="33"/>
      <c r="ATD198" s="33"/>
      <c r="ATN198" s="33"/>
      <c r="ATX198" s="33"/>
      <c r="AUH198" s="33"/>
      <c r="AUR198" s="33"/>
      <c r="AVB198" s="33"/>
      <c r="AVL198" s="33"/>
      <c r="AVV198" s="33"/>
      <c r="AWF198" s="33"/>
      <c r="AWP198" s="33"/>
      <c r="AWZ198" s="33"/>
      <c r="AXJ198" s="33"/>
      <c r="AXT198" s="33"/>
      <c r="AYD198" s="33"/>
      <c r="AYN198" s="33"/>
      <c r="AYX198" s="33"/>
      <c r="AZH198" s="33"/>
      <c r="AZR198" s="33"/>
      <c r="BAB198" s="33"/>
      <c r="BAL198" s="33"/>
      <c r="BAV198" s="33"/>
      <c r="BBF198" s="33"/>
      <c r="BBP198" s="33"/>
      <c r="BBZ198" s="33"/>
      <c r="BCJ198" s="33"/>
      <c r="BCT198" s="33"/>
      <c r="BDD198" s="33"/>
      <c r="BDN198" s="33"/>
      <c r="BDX198" s="33"/>
      <c r="BEH198" s="33"/>
      <c r="BER198" s="33"/>
      <c r="BFB198" s="33"/>
      <c r="BFL198" s="33"/>
      <c r="BFV198" s="33"/>
      <c r="BGF198" s="33"/>
      <c r="BGP198" s="33"/>
      <c r="BGZ198" s="33"/>
      <c r="BHJ198" s="33"/>
      <c r="BHT198" s="33"/>
      <c r="BID198" s="33"/>
      <c r="BIN198" s="33"/>
      <c r="BIX198" s="33"/>
      <c r="BJH198" s="33"/>
      <c r="BJR198" s="33"/>
      <c r="BKB198" s="33"/>
      <c r="BKL198" s="33"/>
      <c r="BKV198" s="33"/>
      <c r="BLF198" s="33"/>
      <c r="BLP198" s="33"/>
      <c r="BLZ198" s="33"/>
      <c r="BMJ198" s="33"/>
      <c r="BMT198" s="33"/>
      <c r="BND198" s="33"/>
      <c r="BNN198" s="33"/>
      <c r="BNX198" s="33"/>
      <c r="BOH198" s="33"/>
      <c r="BOR198" s="33"/>
      <c r="BPB198" s="33"/>
      <c r="BPL198" s="33"/>
      <c r="BPV198" s="33"/>
      <c r="BQF198" s="33"/>
      <c r="BQP198" s="33"/>
      <c r="BQZ198" s="33"/>
      <c r="BRJ198" s="33"/>
      <c r="BRT198" s="33"/>
      <c r="BSD198" s="33"/>
      <c r="BSN198" s="33"/>
      <c r="BSX198" s="33"/>
      <c r="BTH198" s="33"/>
      <c r="BTR198" s="33"/>
      <c r="BUB198" s="33"/>
      <c r="BUL198" s="33"/>
      <c r="BUV198" s="33"/>
      <c r="BVF198" s="33"/>
      <c r="BVP198" s="33"/>
      <c r="BVZ198" s="33"/>
      <c r="BWJ198" s="33"/>
      <c r="BWT198" s="33"/>
      <c r="BXD198" s="33"/>
      <c r="BXN198" s="33"/>
      <c r="BXX198" s="33"/>
      <c r="BYH198" s="33"/>
      <c r="BYR198" s="33"/>
      <c r="BZB198" s="33"/>
      <c r="BZL198" s="33"/>
      <c r="BZV198" s="33"/>
      <c r="CAF198" s="33"/>
      <c r="CAP198" s="33"/>
      <c r="CAZ198" s="33"/>
      <c r="CBJ198" s="33"/>
      <c r="CBT198" s="33"/>
      <c r="CCD198" s="33"/>
      <c r="CCN198" s="33"/>
      <c r="CCX198" s="33"/>
      <c r="CDH198" s="33"/>
      <c r="CDR198" s="33"/>
      <c r="CEB198" s="33"/>
      <c r="CEL198" s="33"/>
      <c r="CEV198" s="33"/>
      <c r="CFF198" s="33"/>
      <c r="CFP198" s="33"/>
      <c r="CFZ198" s="33"/>
      <c r="CGJ198" s="33"/>
      <c r="CGT198" s="33"/>
      <c r="CHD198" s="33"/>
      <c r="CHN198" s="33"/>
      <c r="CHX198" s="33"/>
      <c r="CIH198" s="33"/>
      <c r="CIR198" s="33"/>
      <c r="CJB198" s="33"/>
      <c r="CJL198" s="33"/>
      <c r="CJV198" s="33"/>
      <c r="CKF198" s="33"/>
      <c r="CKP198" s="33"/>
      <c r="CKZ198" s="33"/>
      <c r="CLJ198" s="33"/>
      <c r="CLT198" s="33"/>
      <c r="CMD198" s="33"/>
      <c r="CMN198" s="33"/>
      <c r="CMX198" s="33"/>
      <c r="CNH198" s="33"/>
      <c r="CNR198" s="33"/>
      <c r="COB198" s="33"/>
      <c r="COL198" s="33"/>
      <c r="COV198" s="33"/>
      <c r="CPF198" s="33"/>
      <c r="CPP198" s="33"/>
      <c r="CPZ198" s="33"/>
      <c r="CQJ198" s="33"/>
      <c r="CQT198" s="33"/>
      <c r="CRD198" s="33"/>
      <c r="CRN198" s="33"/>
      <c r="CRX198" s="33"/>
      <c r="CSH198" s="33"/>
      <c r="CSR198" s="33"/>
      <c r="CTB198" s="33"/>
      <c r="CTL198" s="33"/>
      <c r="CTV198" s="33"/>
    </row>
    <row r="199" s="16" customFormat="1" customHeight="1" spans="1:1020 1030:2040 2050:2570">
      <c r="A199" s="57"/>
      <c r="B199" s="52"/>
      <c r="C199" s="52"/>
      <c r="D199" s="52"/>
      <c r="E199" s="52"/>
      <c r="F199" s="58" t="str">
        <f>IFERROR(VLOOKUP(E199,日报!E:G,2,0),"")</f>
        <v/>
      </c>
      <c r="G199" s="52"/>
      <c r="H199" s="53" t="str">
        <f>IFERROR(VLOOKUP(E199,基础数据!$E$4:$H$4,4,0),"")</f>
        <v/>
      </c>
      <c r="I199" s="53" t="str">
        <f>IFERROR(VLOOKUP(E199,基础数据!$E$4:$H$4,3,0),"")</f>
        <v/>
      </c>
      <c r="J199" s="52"/>
      <c r="K199" s="54" t="str">
        <f t="shared" si="3"/>
        <v/>
      </c>
      <c r="T199" s="33"/>
      <c r="AD199" s="33"/>
      <c r="AN199" s="33"/>
      <c r="AX199" s="33"/>
      <c r="BH199" s="33"/>
      <c r="BR199" s="33"/>
      <c r="CB199" s="33"/>
      <c r="CL199" s="33"/>
      <c r="CV199" s="33"/>
      <c r="DF199" s="33"/>
      <c r="DP199" s="33"/>
      <c r="DZ199" s="33"/>
      <c r="EJ199" s="33"/>
      <c r="ET199" s="33"/>
      <c r="FD199" s="33"/>
      <c r="FN199" s="33"/>
      <c r="FX199" s="33"/>
      <c r="GH199" s="33"/>
      <c r="GR199" s="33"/>
      <c r="HB199" s="33"/>
      <c r="HL199" s="33"/>
      <c r="HV199" s="33"/>
      <c r="IF199" s="33"/>
      <c r="IP199" s="33"/>
      <c r="IZ199" s="33"/>
      <c r="JJ199" s="33"/>
      <c r="JT199" s="33"/>
      <c r="KD199" s="33"/>
      <c r="KN199" s="33"/>
      <c r="KX199" s="33"/>
      <c r="LH199" s="33"/>
      <c r="LR199" s="33"/>
      <c r="MB199" s="33"/>
      <c r="ML199" s="33"/>
      <c r="MV199" s="33"/>
      <c r="NF199" s="33"/>
      <c r="NP199" s="33"/>
      <c r="NZ199" s="33"/>
      <c r="OJ199" s="33"/>
      <c r="OT199" s="33"/>
      <c r="PD199" s="33"/>
      <c r="PN199" s="33"/>
      <c r="PX199" s="33"/>
      <c r="QH199" s="33"/>
      <c r="QR199" s="33"/>
      <c r="RB199" s="33"/>
      <c r="RL199" s="33"/>
      <c r="RV199" s="33"/>
      <c r="SF199" s="33"/>
      <c r="SP199" s="33"/>
      <c r="SZ199" s="33"/>
      <c r="TJ199" s="33"/>
      <c r="TT199" s="33"/>
      <c r="UD199" s="33"/>
      <c r="UN199" s="33"/>
      <c r="UX199" s="33"/>
      <c r="VH199" s="33"/>
      <c r="VR199" s="33"/>
      <c r="WB199" s="33"/>
      <c r="WL199" s="33"/>
      <c r="WV199" s="33"/>
      <c r="XF199" s="33"/>
      <c r="XP199" s="33"/>
      <c r="XZ199" s="33"/>
      <c r="YJ199" s="33"/>
      <c r="YT199" s="33"/>
      <c r="ZD199" s="33"/>
      <c r="ZN199" s="33"/>
      <c r="ZX199" s="33"/>
      <c r="AAH199" s="33"/>
      <c r="AAR199" s="33"/>
      <c r="ABB199" s="33"/>
      <c r="ABL199" s="33"/>
      <c r="ABV199" s="33"/>
      <c r="ACF199" s="33"/>
      <c r="ACP199" s="33"/>
      <c r="ACZ199" s="33"/>
      <c r="ADJ199" s="33"/>
      <c r="ADT199" s="33"/>
      <c r="AED199" s="33"/>
      <c r="AEN199" s="33"/>
      <c r="AEX199" s="33"/>
      <c r="AFH199" s="33"/>
      <c r="AFR199" s="33"/>
      <c r="AGB199" s="33"/>
      <c r="AGL199" s="33"/>
      <c r="AGV199" s="33"/>
      <c r="AHF199" s="33"/>
      <c r="AHP199" s="33"/>
      <c r="AHZ199" s="33"/>
      <c r="AIJ199" s="33"/>
      <c r="AIT199" s="33"/>
      <c r="AJD199" s="33"/>
      <c r="AJN199" s="33"/>
      <c r="AJX199" s="33"/>
      <c r="AKH199" s="33"/>
      <c r="AKR199" s="33"/>
      <c r="ALB199" s="33"/>
      <c r="ALL199" s="33"/>
      <c r="ALV199" s="33"/>
      <c r="AMF199" s="33"/>
      <c r="AMP199" s="33"/>
      <c r="AMZ199" s="33"/>
      <c r="ANJ199" s="33"/>
      <c r="ANT199" s="33"/>
      <c r="AOD199" s="33"/>
      <c r="AON199" s="33"/>
      <c r="AOX199" s="33"/>
      <c r="APH199" s="33"/>
      <c r="APR199" s="33"/>
      <c r="AQB199" s="33"/>
      <c r="AQL199" s="33"/>
      <c r="AQV199" s="33"/>
      <c r="ARF199" s="33"/>
      <c r="ARP199" s="33"/>
      <c r="ARZ199" s="33"/>
      <c r="ASJ199" s="33"/>
      <c r="AST199" s="33"/>
      <c r="ATD199" s="33"/>
      <c r="ATN199" s="33"/>
      <c r="ATX199" s="33"/>
      <c r="AUH199" s="33"/>
      <c r="AUR199" s="33"/>
      <c r="AVB199" s="33"/>
      <c r="AVL199" s="33"/>
      <c r="AVV199" s="33"/>
      <c r="AWF199" s="33"/>
      <c r="AWP199" s="33"/>
      <c r="AWZ199" s="33"/>
      <c r="AXJ199" s="33"/>
      <c r="AXT199" s="33"/>
      <c r="AYD199" s="33"/>
      <c r="AYN199" s="33"/>
      <c r="AYX199" s="33"/>
      <c r="AZH199" s="33"/>
      <c r="AZR199" s="33"/>
      <c r="BAB199" s="33"/>
      <c r="BAL199" s="33"/>
      <c r="BAV199" s="33"/>
      <c r="BBF199" s="33"/>
      <c r="BBP199" s="33"/>
      <c r="BBZ199" s="33"/>
      <c r="BCJ199" s="33"/>
      <c r="BCT199" s="33"/>
      <c r="BDD199" s="33"/>
      <c r="BDN199" s="33"/>
      <c r="BDX199" s="33"/>
      <c r="BEH199" s="33"/>
      <c r="BER199" s="33"/>
      <c r="BFB199" s="33"/>
      <c r="BFL199" s="33"/>
      <c r="BFV199" s="33"/>
      <c r="BGF199" s="33"/>
      <c r="BGP199" s="33"/>
      <c r="BGZ199" s="33"/>
      <c r="BHJ199" s="33"/>
      <c r="BHT199" s="33"/>
      <c r="BID199" s="33"/>
      <c r="BIN199" s="33"/>
      <c r="BIX199" s="33"/>
      <c r="BJH199" s="33"/>
      <c r="BJR199" s="33"/>
      <c r="BKB199" s="33"/>
      <c r="BKL199" s="33"/>
      <c r="BKV199" s="33"/>
      <c r="BLF199" s="33"/>
      <c r="BLP199" s="33"/>
      <c r="BLZ199" s="33"/>
      <c r="BMJ199" s="33"/>
      <c r="BMT199" s="33"/>
      <c r="BND199" s="33"/>
      <c r="BNN199" s="33"/>
      <c r="BNX199" s="33"/>
      <c r="BOH199" s="33"/>
      <c r="BOR199" s="33"/>
      <c r="BPB199" s="33"/>
      <c r="BPL199" s="33"/>
      <c r="BPV199" s="33"/>
      <c r="BQF199" s="33"/>
      <c r="BQP199" s="33"/>
      <c r="BQZ199" s="33"/>
      <c r="BRJ199" s="33"/>
      <c r="BRT199" s="33"/>
      <c r="BSD199" s="33"/>
      <c r="BSN199" s="33"/>
      <c r="BSX199" s="33"/>
      <c r="BTH199" s="33"/>
      <c r="BTR199" s="33"/>
      <c r="BUB199" s="33"/>
      <c r="BUL199" s="33"/>
      <c r="BUV199" s="33"/>
      <c r="BVF199" s="33"/>
      <c r="BVP199" s="33"/>
      <c r="BVZ199" s="33"/>
      <c r="BWJ199" s="33"/>
      <c r="BWT199" s="33"/>
      <c r="BXD199" s="33"/>
      <c r="BXN199" s="33"/>
      <c r="BXX199" s="33"/>
      <c r="BYH199" s="33"/>
      <c r="BYR199" s="33"/>
      <c r="BZB199" s="33"/>
      <c r="BZL199" s="33"/>
      <c r="BZV199" s="33"/>
      <c r="CAF199" s="33"/>
      <c r="CAP199" s="33"/>
      <c r="CAZ199" s="33"/>
      <c r="CBJ199" s="33"/>
      <c r="CBT199" s="33"/>
      <c r="CCD199" s="33"/>
      <c r="CCN199" s="33"/>
      <c r="CCX199" s="33"/>
      <c r="CDH199" s="33"/>
      <c r="CDR199" s="33"/>
      <c r="CEB199" s="33"/>
      <c r="CEL199" s="33"/>
      <c r="CEV199" s="33"/>
      <c r="CFF199" s="33"/>
      <c r="CFP199" s="33"/>
      <c r="CFZ199" s="33"/>
      <c r="CGJ199" s="33"/>
      <c r="CGT199" s="33"/>
      <c r="CHD199" s="33"/>
      <c r="CHN199" s="33"/>
      <c r="CHX199" s="33"/>
      <c r="CIH199" s="33"/>
      <c r="CIR199" s="33"/>
      <c r="CJB199" s="33"/>
      <c r="CJL199" s="33"/>
      <c r="CJV199" s="33"/>
      <c r="CKF199" s="33"/>
      <c r="CKP199" s="33"/>
      <c r="CKZ199" s="33"/>
      <c r="CLJ199" s="33"/>
      <c r="CLT199" s="33"/>
      <c r="CMD199" s="33"/>
      <c r="CMN199" s="33"/>
      <c r="CMX199" s="33"/>
      <c r="CNH199" s="33"/>
      <c r="CNR199" s="33"/>
      <c r="COB199" s="33"/>
      <c r="COL199" s="33"/>
      <c r="COV199" s="33"/>
      <c r="CPF199" s="33"/>
      <c r="CPP199" s="33"/>
      <c r="CPZ199" s="33"/>
      <c r="CQJ199" s="33"/>
      <c r="CQT199" s="33"/>
      <c r="CRD199" s="33"/>
      <c r="CRN199" s="33"/>
      <c r="CRX199" s="33"/>
      <c r="CSH199" s="33"/>
      <c r="CSR199" s="33"/>
      <c r="CTB199" s="33"/>
      <c r="CTL199" s="33"/>
      <c r="CTV199" s="33"/>
    </row>
    <row r="200" s="16" customFormat="1" customHeight="1" spans="1:1020 1030:2040 2050:2570">
      <c r="A200" s="57"/>
      <c r="B200" s="52"/>
      <c r="C200" s="52"/>
      <c r="D200" s="52"/>
      <c r="E200" s="52"/>
      <c r="F200" s="58" t="str">
        <f>IFERROR(VLOOKUP(E200,日报!E:G,2,0),"")</f>
        <v/>
      </c>
      <c r="G200" s="52"/>
      <c r="H200" s="53" t="str">
        <f>IFERROR(VLOOKUP(E200,基础数据!$E$4:$H$4,4,0),"")</f>
        <v/>
      </c>
      <c r="I200" s="53" t="str">
        <f>IFERROR(VLOOKUP(E200,基础数据!$E$4:$H$4,3,0),"")</f>
        <v/>
      </c>
      <c r="J200" s="52"/>
      <c r="K200" s="54" t="str">
        <f t="shared" si="3"/>
        <v/>
      </c>
      <c r="T200" s="33"/>
      <c r="AD200" s="33"/>
      <c r="AN200" s="33"/>
      <c r="AX200" s="33"/>
      <c r="BH200" s="33"/>
      <c r="BR200" s="33"/>
      <c r="CB200" s="33"/>
      <c r="CL200" s="33"/>
      <c r="CV200" s="33"/>
      <c r="DF200" s="33"/>
      <c r="DP200" s="33"/>
      <c r="DZ200" s="33"/>
      <c r="EJ200" s="33"/>
      <c r="ET200" s="33"/>
      <c r="FD200" s="33"/>
      <c r="FN200" s="33"/>
      <c r="FX200" s="33"/>
      <c r="GH200" s="33"/>
      <c r="GR200" s="33"/>
      <c r="HB200" s="33"/>
      <c r="HL200" s="33"/>
      <c r="HV200" s="33"/>
      <c r="IF200" s="33"/>
      <c r="IP200" s="33"/>
      <c r="IZ200" s="33"/>
      <c r="JJ200" s="33"/>
      <c r="JT200" s="33"/>
      <c r="KD200" s="33"/>
      <c r="KN200" s="33"/>
      <c r="KX200" s="33"/>
      <c r="LH200" s="33"/>
      <c r="LR200" s="33"/>
      <c r="MB200" s="33"/>
      <c r="ML200" s="33"/>
      <c r="MV200" s="33"/>
      <c r="NF200" s="33"/>
      <c r="NP200" s="33"/>
      <c r="NZ200" s="33"/>
      <c r="OJ200" s="33"/>
      <c r="OT200" s="33"/>
      <c r="PD200" s="33"/>
      <c r="PN200" s="33"/>
      <c r="PX200" s="33"/>
      <c r="QH200" s="33"/>
      <c r="QR200" s="33"/>
      <c r="RB200" s="33"/>
      <c r="RL200" s="33"/>
      <c r="RV200" s="33"/>
      <c r="SF200" s="33"/>
      <c r="SP200" s="33"/>
      <c r="SZ200" s="33"/>
      <c r="TJ200" s="33"/>
      <c r="TT200" s="33"/>
      <c r="UD200" s="33"/>
      <c r="UN200" s="33"/>
      <c r="UX200" s="33"/>
      <c r="VH200" s="33"/>
      <c r="VR200" s="33"/>
      <c r="WB200" s="33"/>
      <c r="WL200" s="33"/>
      <c r="WV200" s="33"/>
      <c r="XF200" s="33"/>
      <c r="XP200" s="33"/>
      <c r="XZ200" s="33"/>
      <c r="YJ200" s="33"/>
      <c r="YT200" s="33"/>
      <c r="ZD200" s="33"/>
      <c r="ZN200" s="33"/>
      <c r="ZX200" s="33"/>
      <c r="AAH200" s="33"/>
      <c r="AAR200" s="33"/>
      <c r="ABB200" s="33"/>
      <c r="ABL200" s="33"/>
      <c r="ABV200" s="33"/>
      <c r="ACF200" s="33"/>
      <c r="ACP200" s="33"/>
      <c r="ACZ200" s="33"/>
      <c r="ADJ200" s="33"/>
      <c r="ADT200" s="33"/>
      <c r="AED200" s="33"/>
      <c r="AEN200" s="33"/>
      <c r="AEX200" s="33"/>
      <c r="AFH200" s="33"/>
      <c r="AFR200" s="33"/>
      <c r="AGB200" s="33"/>
      <c r="AGL200" s="33"/>
      <c r="AGV200" s="33"/>
      <c r="AHF200" s="33"/>
      <c r="AHP200" s="33"/>
      <c r="AHZ200" s="33"/>
      <c r="AIJ200" s="33"/>
      <c r="AIT200" s="33"/>
      <c r="AJD200" s="33"/>
      <c r="AJN200" s="33"/>
      <c r="AJX200" s="33"/>
      <c r="AKH200" s="33"/>
      <c r="AKR200" s="33"/>
      <c r="ALB200" s="33"/>
      <c r="ALL200" s="33"/>
      <c r="ALV200" s="33"/>
      <c r="AMF200" s="33"/>
      <c r="AMP200" s="33"/>
      <c r="AMZ200" s="33"/>
      <c r="ANJ200" s="33"/>
      <c r="ANT200" s="33"/>
      <c r="AOD200" s="33"/>
      <c r="AON200" s="33"/>
      <c r="AOX200" s="33"/>
      <c r="APH200" s="33"/>
      <c r="APR200" s="33"/>
      <c r="AQB200" s="33"/>
      <c r="AQL200" s="33"/>
      <c r="AQV200" s="33"/>
      <c r="ARF200" s="33"/>
      <c r="ARP200" s="33"/>
      <c r="ARZ200" s="33"/>
      <c r="ASJ200" s="33"/>
      <c r="AST200" s="33"/>
      <c r="ATD200" s="33"/>
      <c r="ATN200" s="33"/>
      <c r="ATX200" s="33"/>
      <c r="AUH200" s="33"/>
      <c r="AUR200" s="33"/>
      <c r="AVB200" s="33"/>
      <c r="AVL200" s="33"/>
      <c r="AVV200" s="33"/>
      <c r="AWF200" s="33"/>
      <c r="AWP200" s="33"/>
      <c r="AWZ200" s="33"/>
      <c r="AXJ200" s="33"/>
      <c r="AXT200" s="33"/>
      <c r="AYD200" s="33"/>
      <c r="AYN200" s="33"/>
      <c r="AYX200" s="33"/>
      <c r="AZH200" s="33"/>
      <c r="AZR200" s="33"/>
      <c r="BAB200" s="33"/>
      <c r="BAL200" s="33"/>
      <c r="BAV200" s="33"/>
      <c r="BBF200" s="33"/>
      <c r="BBP200" s="33"/>
      <c r="BBZ200" s="33"/>
      <c r="BCJ200" s="33"/>
      <c r="BCT200" s="33"/>
      <c r="BDD200" s="33"/>
      <c r="BDN200" s="33"/>
      <c r="BDX200" s="33"/>
      <c r="BEH200" s="33"/>
      <c r="BER200" s="33"/>
      <c r="BFB200" s="33"/>
      <c r="BFL200" s="33"/>
      <c r="BFV200" s="33"/>
      <c r="BGF200" s="33"/>
      <c r="BGP200" s="33"/>
      <c r="BGZ200" s="33"/>
      <c r="BHJ200" s="33"/>
      <c r="BHT200" s="33"/>
      <c r="BID200" s="33"/>
      <c r="BIN200" s="33"/>
      <c r="BIX200" s="33"/>
      <c r="BJH200" s="33"/>
      <c r="BJR200" s="33"/>
      <c r="BKB200" s="33"/>
      <c r="BKL200" s="33"/>
      <c r="BKV200" s="33"/>
      <c r="BLF200" s="33"/>
      <c r="BLP200" s="33"/>
      <c r="BLZ200" s="33"/>
      <c r="BMJ200" s="33"/>
      <c r="BMT200" s="33"/>
      <c r="BND200" s="33"/>
      <c r="BNN200" s="33"/>
      <c r="BNX200" s="33"/>
      <c r="BOH200" s="33"/>
      <c r="BOR200" s="33"/>
      <c r="BPB200" s="33"/>
      <c r="BPL200" s="33"/>
      <c r="BPV200" s="33"/>
      <c r="BQF200" s="33"/>
      <c r="BQP200" s="33"/>
      <c r="BQZ200" s="33"/>
      <c r="BRJ200" s="33"/>
      <c r="BRT200" s="33"/>
      <c r="BSD200" s="33"/>
      <c r="BSN200" s="33"/>
      <c r="BSX200" s="33"/>
      <c r="BTH200" s="33"/>
      <c r="BTR200" s="33"/>
      <c r="BUB200" s="33"/>
      <c r="BUL200" s="33"/>
      <c r="BUV200" s="33"/>
      <c r="BVF200" s="33"/>
      <c r="BVP200" s="33"/>
      <c r="BVZ200" s="33"/>
      <c r="BWJ200" s="33"/>
      <c r="BWT200" s="33"/>
      <c r="BXD200" s="33"/>
      <c r="BXN200" s="33"/>
      <c r="BXX200" s="33"/>
      <c r="BYH200" s="33"/>
      <c r="BYR200" s="33"/>
      <c r="BZB200" s="33"/>
      <c r="BZL200" s="33"/>
      <c r="BZV200" s="33"/>
      <c r="CAF200" s="33"/>
      <c r="CAP200" s="33"/>
      <c r="CAZ200" s="33"/>
      <c r="CBJ200" s="33"/>
      <c r="CBT200" s="33"/>
      <c r="CCD200" s="33"/>
      <c r="CCN200" s="33"/>
      <c r="CCX200" s="33"/>
      <c r="CDH200" s="33"/>
      <c r="CDR200" s="33"/>
      <c r="CEB200" s="33"/>
      <c r="CEL200" s="33"/>
      <c r="CEV200" s="33"/>
      <c r="CFF200" s="33"/>
      <c r="CFP200" s="33"/>
      <c r="CFZ200" s="33"/>
      <c r="CGJ200" s="33"/>
      <c r="CGT200" s="33"/>
      <c r="CHD200" s="33"/>
      <c r="CHN200" s="33"/>
      <c r="CHX200" s="33"/>
      <c r="CIH200" s="33"/>
      <c r="CIR200" s="33"/>
      <c r="CJB200" s="33"/>
      <c r="CJL200" s="33"/>
      <c r="CJV200" s="33"/>
      <c r="CKF200" s="33"/>
      <c r="CKP200" s="33"/>
      <c r="CKZ200" s="33"/>
      <c r="CLJ200" s="33"/>
      <c r="CLT200" s="33"/>
      <c r="CMD200" s="33"/>
      <c r="CMN200" s="33"/>
      <c r="CMX200" s="33"/>
      <c r="CNH200" s="33"/>
      <c r="CNR200" s="33"/>
      <c r="COB200" s="33"/>
      <c r="COL200" s="33"/>
      <c r="COV200" s="33"/>
      <c r="CPF200" s="33"/>
      <c r="CPP200" s="33"/>
      <c r="CPZ200" s="33"/>
      <c r="CQJ200" s="33"/>
      <c r="CQT200" s="33"/>
      <c r="CRD200" s="33"/>
      <c r="CRN200" s="33"/>
      <c r="CRX200" s="33"/>
      <c r="CSH200" s="33"/>
      <c r="CSR200" s="33"/>
      <c r="CTB200" s="33"/>
      <c r="CTL200" s="33"/>
      <c r="CTV200" s="33"/>
    </row>
    <row r="201" s="16" customFormat="1" customHeight="1" spans="1:1020 1030:2040 2050:2570">
      <c r="A201" s="57"/>
      <c r="B201" s="52"/>
      <c r="C201" s="52"/>
      <c r="D201" s="52"/>
      <c r="E201" s="52"/>
      <c r="F201" s="58" t="str">
        <f>IFERROR(VLOOKUP(E201,日报!E:G,2,0),"")</f>
        <v/>
      </c>
      <c r="G201" s="52"/>
      <c r="H201" s="53" t="str">
        <f>IFERROR(VLOOKUP(E201,基础数据!$E$4:$H$4,4,0),"")</f>
        <v/>
      </c>
      <c r="I201" s="53" t="str">
        <f>IFERROR(VLOOKUP(E201,基础数据!$E$4:$H$4,3,0),"")</f>
        <v/>
      </c>
      <c r="J201" s="52"/>
      <c r="K201" s="54" t="str">
        <f t="shared" si="3"/>
        <v/>
      </c>
      <c r="T201" s="33"/>
      <c r="AD201" s="33"/>
      <c r="AN201" s="33"/>
      <c r="AX201" s="33"/>
      <c r="BH201" s="33"/>
      <c r="BR201" s="33"/>
      <c r="CB201" s="33"/>
      <c r="CL201" s="33"/>
      <c r="CV201" s="33"/>
      <c r="DF201" s="33"/>
      <c r="DP201" s="33"/>
      <c r="DZ201" s="33"/>
      <c r="EJ201" s="33"/>
      <c r="ET201" s="33"/>
      <c r="FD201" s="33"/>
      <c r="FN201" s="33"/>
      <c r="FX201" s="33"/>
      <c r="GH201" s="33"/>
      <c r="GR201" s="33"/>
      <c r="HB201" s="33"/>
      <c r="HL201" s="33"/>
      <c r="HV201" s="33"/>
      <c r="IF201" s="33"/>
      <c r="IP201" s="33"/>
      <c r="IZ201" s="33"/>
      <c r="JJ201" s="33"/>
      <c r="JT201" s="33"/>
      <c r="KD201" s="33"/>
      <c r="KN201" s="33"/>
      <c r="KX201" s="33"/>
      <c r="LH201" s="33"/>
      <c r="LR201" s="33"/>
      <c r="MB201" s="33"/>
      <c r="ML201" s="33"/>
      <c r="MV201" s="33"/>
      <c r="NF201" s="33"/>
      <c r="NP201" s="33"/>
      <c r="NZ201" s="33"/>
      <c r="OJ201" s="33"/>
      <c r="OT201" s="33"/>
      <c r="PD201" s="33"/>
      <c r="PN201" s="33"/>
      <c r="PX201" s="33"/>
      <c r="QH201" s="33"/>
      <c r="QR201" s="33"/>
      <c r="RB201" s="33"/>
      <c r="RL201" s="33"/>
      <c r="RV201" s="33"/>
      <c r="SF201" s="33"/>
      <c r="SP201" s="33"/>
      <c r="SZ201" s="33"/>
      <c r="TJ201" s="33"/>
      <c r="TT201" s="33"/>
      <c r="UD201" s="33"/>
      <c r="UN201" s="33"/>
      <c r="UX201" s="33"/>
      <c r="VH201" s="33"/>
      <c r="VR201" s="33"/>
      <c r="WB201" s="33"/>
      <c r="WL201" s="33"/>
      <c r="WV201" s="33"/>
      <c r="XF201" s="33"/>
      <c r="XP201" s="33"/>
      <c r="XZ201" s="33"/>
      <c r="YJ201" s="33"/>
      <c r="YT201" s="33"/>
      <c r="ZD201" s="33"/>
      <c r="ZN201" s="33"/>
      <c r="ZX201" s="33"/>
      <c r="AAH201" s="33"/>
      <c r="AAR201" s="33"/>
      <c r="ABB201" s="33"/>
      <c r="ABL201" s="33"/>
      <c r="ABV201" s="33"/>
      <c r="ACF201" s="33"/>
      <c r="ACP201" s="33"/>
      <c r="ACZ201" s="33"/>
      <c r="ADJ201" s="33"/>
      <c r="ADT201" s="33"/>
      <c r="AED201" s="33"/>
      <c r="AEN201" s="33"/>
      <c r="AEX201" s="33"/>
      <c r="AFH201" s="33"/>
      <c r="AFR201" s="33"/>
      <c r="AGB201" s="33"/>
      <c r="AGL201" s="33"/>
      <c r="AGV201" s="33"/>
      <c r="AHF201" s="33"/>
      <c r="AHP201" s="33"/>
      <c r="AHZ201" s="33"/>
      <c r="AIJ201" s="33"/>
      <c r="AIT201" s="33"/>
      <c r="AJD201" s="33"/>
      <c r="AJN201" s="33"/>
      <c r="AJX201" s="33"/>
      <c r="AKH201" s="33"/>
      <c r="AKR201" s="33"/>
      <c r="ALB201" s="33"/>
      <c r="ALL201" s="33"/>
      <c r="ALV201" s="33"/>
      <c r="AMF201" s="33"/>
      <c r="AMP201" s="33"/>
      <c r="AMZ201" s="33"/>
      <c r="ANJ201" s="33"/>
      <c r="ANT201" s="33"/>
      <c r="AOD201" s="33"/>
      <c r="AON201" s="33"/>
      <c r="AOX201" s="33"/>
      <c r="APH201" s="33"/>
      <c r="APR201" s="33"/>
      <c r="AQB201" s="33"/>
      <c r="AQL201" s="33"/>
      <c r="AQV201" s="33"/>
      <c r="ARF201" s="33"/>
      <c r="ARP201" s="33"/>
      <c r="ARZ201" s="33"/>
      <c r="ASJ201" s="33"/>
      <c r="AST201" s="33"/>
      <c r="ATD201" s="33"/>
      <c r="ATN201" s="33"/>
      <c r="ATX201" s="33"/>
      <c r="AUH201" s="33"/>
      <c r="AUR201" s="33"/>
      <c r="AVB201" s="33"/>
      <c r="AVL201" s="33"/>
      <c r="AVV201" s="33"/>
      <c r="AWF201" s="33"/>
      <c r="AWP201" s="33"/>
      <c r="AWZ201" s="33"/>
      <c r="AXJ201" s="33"/>
      <c r="AXT201" s="33"/>
      <c r="AYD201" s="33"/>
      <c r="AYN201" s="33"/>
      <c r="AYX201" s="33"/>
      <c r="AZH201" s="33"/>
      <c r="AZR201" s="33"/>
      <c r="BAB201" s="33"/>
      <c r="BAL201" s="33"/>
      <c r="BAV201" s="33"/>
      <c r="BBF201" s="33"/>
      <c r="BBP201" s="33"/>
      <c r="BBZ201" s="33"/>
      <c r="BCJ201" s="33"/>
      <c r="BCT201" s="33"/>
      <c r="BDD201" s="33"/>
      <c r="BDN201" s="33"/>
      <c r="BDX201" s="33"/>
      <c r="BEH201" s="33"/>
      <c r="BER201" s="33"/>
      <c r="BFB201" s="33"/>
      <c r="BFL201" s="33"/>
      <c r="BFV201" s="33"/>
      <c r="BGF201" s="33"/>
      <c r="BGP201" s="33"/>
      <c r="BGZ201" s="33"/>
      <c r="BHJ201" s="33"/>
      <c r="BHT201" s="33"/>
      <c r="BID201" s="33"/>
      <c r="BIN201" s="33"/>
      <c r="BIX201" s="33"/>
      <c r="BJH201" s="33"/>
      <c r="BJR201" s="33"/>
      <c r="BKB201" s="33"/>
      <c r="BKL201" s="33"/>
      <c r="BKV201" s="33"/>
      <c r="BLF201" s="33"/>
      <c r="BLP201" s="33"/>
      <c r="BLZ201" s="33"/>
      <c r="BMJ201" s="33"/>
      <c r="BMT201" s="33"/>
      <c r="BND201" s="33"/>
      <c r="BNN201" s="33"/>
      <c r="BNX201" s="33"/>
      <c r="BOH201" s="33"/>
      <c r="BOR201" s="33"/>
      <c r="BPB201" s="33"/>
      <c r="BPL201" s="33"/>
      <c r="BPV201" s="33"/>
      <c r="BQF201" s="33"/>
      <c r="BQP201" s="33"/>
      <c r="BQZ201" s="33"/>
      <c r="BRJ201" s="33"/>
      <c r="BRT201" s="33"/>
      <c r="BSD201" s="33"/>
      <c r="BSN201" s="33"/>
      <c r="BSX201" s="33"/>
      <c r="BTH201" s="33"/>
      <c r="BTR201" s="33"/>
      <c r="BUB201" s="33"/>
      <c r="BUL201" s="33"/>
      <c r="BUV201" s="33"/>
      <c r="BVF201" s="33"/>
      <c r="BVP201" s="33"/>
      <c r="BVZ201" s="33"/>
      <c r="BWJ201" s="33"/>
      <c r="BWT201" s="33"/>
      <c r="BXD201" s="33"/>
      <c r="BXN201" s="33"/>
      <c r="BXX201" s="33"/>
      <c r="BYH201" s="33"/>
      <c r="BYR201" s="33"/>
      <c r="BZB201" s="33"/>
      <c r="BZL201" s="33"/>
      <c r="BZV201" s="33"/>
      <c r="CAF201" s="33"/>
      <c r="CAP201" s="33"/>
      <c r="CAZ201" s="33"/>
      <c r="CBJ201" s="33"/>
      <c r="CBT201" s="33"/>
      <c r="CCD201" s="33"/>
      <c r="CCN201" s="33"/>
      <c r="CCX201" s="33"/>
      <c r="CDH201" s="33"/>
      <c r="CDR201" s="33"/>
      <c r="CEB201" s="33"/>
      <c r="CEL201" s="33"/>
      <c r="CEV201" s="33"/>
      <c r="CFF201" s="33"/>
      <c r="CFP201" s="33"/>
      <c r="CFZ201" s="33"/>
      <c r="CGJ201" s="33"/>
      <c r="CGT201" s="33"/>
      <c r="CHD201" s="33"/>
      <c r="CHN201" s="33"/>
      <c r="CHX201" s="33"/>
      <c r="CIH201" s="33"/>
      <c r="CIR201" s="33"/>
      <c r="CJB201" s="33"/>
      <c r="CJL201" s="33"/>
      <c r="CJV201" s="33"/>
      <c r="CKF201" s="33"/>
      <c r="CKP201" s="33"/>
      <c r="CKZ201" s="33"/>
      <c r="CLJ201" s="33"/>
      <c r="CLT201" s="33"/>
      <c r="CMD201" s="33"/>
      <c r="CMN201" s="33"/>
      <c r="CMX201" s="33"/>
      <c r="CNH201" s="33"/>
      <c r="CNR201" s="33"/>
      <c r="COB201" s="33"/>
      <c r="COL201" s="33"/>
      <c r="COV201" s="33"/>
      <c r="CPF201" s="33"/>
      <c r="CPP201" s="33"/>
      <c r="CPZ201" s="33"/>
      <c r="CQJ201" s="33"/>
      <c r="CQT201" s="33"/>
      <c r="CRD201" s="33"/>
      <c r="CRN201" s="33"/>
      <c r="CRX201" s="33"/>
      <c r="CSH201" s="33"/>
      <c r="CSR201" s="33"/>
      <c r="CTB201" s="33"/>
      <c r="CTL201" s="33"/>
      <c r="CTV201" s="33"/>
    </row>
    <row r="202" s="16" customFormat="1" customHeight="1" spans="1:1020 1030:2040 2050:2570">
      <c r="A202" s="57"/>
      <c r="B202" s="52"/>
      <c r="C202" s="52"/>
      <c r="D202" s="52"/>
      <c r="E202" s="52"/>
      <c r="F202" s="58" t="str">
        <f>IFERROR(VLOOKUP(E202,日报!E:G,2,0),"")</f>
        <v/>
      </c>
      <c r="G202" s="52"/>
      <c r="H202" s="53" t="str">
        <f>IFERROR(VLOOKUP(E202,基础数据!$E$4:$H$4,4,0),"")</f>
        <v/>
      </c>
      <c r="I202" s="53" t="str">
        <f>IFERROR(VLOOKUP(E202,基础数据!$E$4:$H$4,3,0),"")</f>
        <v/>
      </c>
      <c r="J202" s="52"/>
      <c r="K202" s="54" t="str">
        <f t="shared" si="3"/>
        <v/>
      </c>
      <c r="T202" s="33"/>
      <c r="AD202" s="33"/>
      <c r="AN202" s="33"/>
      <c r="AX202" s="33"/>
      <c r="BH202" s="33"/>
      <c r="BR202" s="33"/>
      <c r="CB202" s="33"/>
      <c r="CL202" s="33"/>
      <c r="CV202" s="33"/>
      <c r="DF202" s="33"/>
      <c r="DP202" s="33"/>
      <c r="DZ202" s="33"/>
      <c r="EJ202" s="33"/>
      <c r="ET202" s="33"/>
      <c r="FD202" s="33"/>
      <c r="FN202" s="33"/>
      <c r="FX202" s="33"/>
      <c r="GH202" s="33"/>
      <c r="GR202" s="33"/>
      <c r="HB202" s="33"/>
      <c r="HL202" s="33"/>
      <c r="HV202" s="33"/>
      <c r="IF202" s="33"/>
      <c r="IP202" s="33"/>
      <c r="IZ202" s="33"/>
      <c r="JJ202" s="33"/>
      <c r="JT202" s="33"/>
      <c r="KD202" s="33"/>
      <c r="KN202" s="33"/>
      <c r="KX202" s="33"/>
      <c r="LH202" s="33"/>
      <c r="LR202" s="33"/>
      <c r="MB202" s="33"/>
      <c r="ML202" s="33"/>
      <c r="MV202" s="33"/>
      <c r="NF202" s="33"/>
      <c r="NP202" s="33"/>
      <c r="NZ202" s="33"/>
      <c r="OJ202" s="33"/>
      <c r="OT202" s="33"/>
      <c r="PD202" s="33"/>
      <c r="PN202" s="33"/>
      <c r="PX202" s="33"/>
      <c r="QH202" s="33"/>
      <c r="QR202" s="33"/>
      <c r="RB202" s="33"/>
      <c r="RL202" s="33"/>
      <c r="RV202" s="33"/>
      <c r="SF202" s="33"/>
      <c r="SP202" s="33"/>
      <c r="SZ202" s="33"/>
      <c r="TJ202" s="33"/>
      <c r="TT202" s="33"/>
      <c r="UD202" s="33"/>
      <c r="UN202" s="33"/>
      <c r="UX202" s="33"/>
      <c r="VH202" s="33"/>
      <c r="VR202" s="33"/>
      <c r="WB202" s="33"/>
      <c r="WL202" s="33"/>
      <c r="WV202" s="33"/>
      <c r="XF202" s="33"/>
      <c r="XP202" s="33"/>
      <c r="XZ202" s="33"/>
      <c r="YJ202" s="33"/>
      <c r="YT202" s="33"/>
      <c r="ZD202" s="33"/>
      <c r="ZN202" s="33"/>
      <c r="ZX202" s="33"/>
      <c r="AAH202" s="33"/>
      <c r="AAR202" s="33"/>
      <c r="ABB202" s="33"/>
      <c r="ABL202" s="33"/>
      <c r="ABV202" s="33"/>
      <c r="ACF202" s="33"/>
      <c r="ACP202" s="33"/>
      <c r="ACZ202" s="33"/>
      <c r="ADJ202" s="33"/>
      <c r="ADT202" s="33"/>
      <c r="AED202" s="33"/>
      <c r="AEN202" s="33"/>
      <c r="AEX202" s="33"/>
      <c r="AFH202" s="33"/>
      <c r="AFR202" s="33"/>
      <c r="AGB202" s="33"/>
      <c r="AGL202" s="33"/>
      <c r="AGV202" s="33"/>
      <c r="AHF202" s="33"/>
      <c r="AHP202" s="33"/>
      <c r="AHZ202" s="33"/>
      <c r="AIJ202" s="33"/>
      <c r="AIT202" s="33"/>
      <c r="AJD202" s="33"/>
      <c r="AJN202" s="33"/>
      <c r="AJX202" s="33"/>
      <c r="AKH202" s="33"/>
      <c r="AKR202" s="33"/>
      <c r="ALB202" s="33"/>
      <c r="ALL202" s="33"/>
      <c r="ALV202" s="33"/>
      <c r="AMF202" s="33"/>
      <c r="AMP202" s="33"/>
      <c r="AMZ202" s="33"/>
      <c r="ANJ202" s="33"/>
      <c r="ANT202" s="33"/>
      <c r="AOD202" s="33"/>
      <c r="AON202" s="33"/>
      <c r="AOX202" s="33"/>
      <c r="APH202" s="33"/>
      <c r="APR202" s="33"/>
      <c r="AQB202" s="33"/>
      <c r="AQL202" s="33"/>
      <c r="AQV202" s="33"/>
      <c r="ARF202" s="33"/>
      <c r="ARP202" s="33"/>
      <c r="ARZ202" s="33"/>
      <c r="ASJ202" s="33"/>
      <c r="AST202" s="33"/>
      <c r="ATD202" s="33"/>
      <c r="ATN202" s="33"/>
      <c r="ATX202" s="33"/>
      <c r="AUH202" s="33"/>
      <c r="AUR202" s="33"/>
      <c r="AVB202" s="33"/>
      <c r="AVL202" s="33"/>
      <c r="AVV202" s="33"/>
      <c r="AWF202" s="33"/>
      <c r="AWP202" s="33"/>
      <c r="AWZ202" s="33"/>
      <c r="AXJ202" s="33"/>
      <c r="AXT202" s="33"/>
      <c r="AYD202" s="33"/>
      <c r="AYN202" s="33"/>
      <c r="AYX202" s="33"/>
      <c r="AZH202" s="33"/>
      <c r="AZR202" s="33"/>
      <c r="BAB202" s="33"/>
      <c r="BAL202" s="33"/>
      <c r="BAV202" s="33"/>
      <c r="BBF202" s="33"/>
      <c r="BBP202" s="33"/>
      <c r="BBZ202" s="33"/>
      <c r="BCJ202" s="33"/>
      <c r="BCT202" s="33"/>
      <c r="BDD202" s="33"/>
      <c r="BDN202" s="33"/>
      <c r="BDX202" s="33"/>
      <c r="BEH202" s="33"/>
      <c r="BER202" s="33"/>
      <c r="BFB202" s="33"/>
      <c r="BFL202" s="33"/>
      <c r="BFV202" s="33"/>
      <c r="BGF202" s="33"/>
      <c r="BGP202" s="33"/>
      <c r="BGZ202" s="33"/>
      <c r="BHJ202" s="33"/>
      <c r="BHT202" s="33"/>
      <c r="BID202" s="33"/>
      <c r="BIN202" s="33"/>
      <c r="BIX202" s="33"/>
      <c r="BJH202" s="33"/>
      <c r="BJR202" s="33"/>
      <c r="BKB202" s="33"/>
      <c r="BKL202" s="33"/>
      <c r="BKV202" s="33"/>
      <c r="BLF202" s="33"/>
      <c r="BLP202" s="33"/>
      <c r="BLZ202" s="33"/>
      <c r="BMJ202" s="33"/>
      <c r="BMT202" s="33"/>
      <c r="BND202" s="33"/>
      <c r="BNN202" s="33"/>
      <c r="BNX202" s="33"/>
      <c r="BOH202" s="33"/>
      <c r="BOR202" s="33"/>
      <c r="BPB202" s="33"/>
      <c r="BPL202" s="33"/>
      <c r="BPV202" s="33"/>
      <c r="BQF202" s="33"/>
      <c r="BQP202" s="33"/>
      <c r="BQZ202" s="33"/>
      <c r="BRJ202" s="33"/>
      <c r="BRT202" s="33"/>
      <c r="BSD202" s="33"/>
      <c r="BSN202" s="33"/>
      <c r="BSX202" s="33"/>
      <c r="BTH202" s="33"/>
      <c r="BTR202" s="33"/>
      <c r="BUB202" s="33"/>
      <c r="BUL202" s="33"/>
      <c r="BUV202" s="33"/>
      <c r="BVF202" s="33"/>
      <c r="BVP202" s="33"/>
      <c r="BVZ202" s="33"/>
      <c r="BWJ202" s="33"/>
      <c r="BWT202" s="33"/>
      <c r="BXD202" s="33"/>
      <c r="BXN202" s="33"/>
      <c r="BXX202" s="33"/>
      <c r="BYH202" s="33"/>
      <c r="BYR202" s="33"/>
      <c r="BZB202" s="33"/>
      <c r="BZL202" s="33"/>
      <c r="BZV202" s="33"/>
      <c r="CAF202" s="33"/>
      <c r="CAP202" s="33"/>
      <c r="CAZ202" s="33"/>
      <c r="CBJ202" s="33"/>
      <c r="CBT202" s="33"/>
      <c r="CCD202" s="33"/>
      <c r="CCN202" s="33"/>
      <c r="CCX202" s="33"/>
      <c r="CDH202" s="33"/>
      <c r="CDR202" s="33"/>
      <c r="CEB202" s="33"/>
      <c r="CEL202" s="33"/>
      <c r="CEV202" s="33"/>
      <c r="CFF202" s="33"/>
      <c r="CFP202" s="33"/>
      <c r="CFZ202" s="33"/>
      <c r="CGJ202" s="33"/>
      <c r="CGT202" s="33"/>
      <c r="CHD202" s="33"/>
      <c r="CHN202" s="33"/>
      <c r="CHX202" s="33"/>
      <c r="CIH202" s="33"/>
      <c r="CIR202" s="33"/>
      <c r="CJB202" s="33"/>
      <c r="CJL202" s="33"/>
      <c r="CJV202" s="33"/>
      <c r="CKF202" s="33"/>
      <c r="CKP202" s="33"/>
      <c r="CKZ202" s="33"/>
      <c r="CLJ202" s="33"/>
      <c r="CLT202" s="33"/>
      <c r="CMD202" s="33"/>
      <c r="CMN202" s="33"/>
      <c r="CMX202" s="33"/>
      <c r="CNH202" s="33"/>
      <c r="CNR202" s="33"/>
      <c r="COB202" s="33"/>
      <c r="COL202" s="33"/>
      <c r="COV202" s="33"/>
      <c r="CPF202" s="33"/>
      <c r="CPP202" s="33"/>
      <c r="CPZ202" s="33"/>
      <c r="CQJ202" s="33"/>
      <c r="CQT202" s="33"/>
      <c r="CRD202" s="33"/>
      <c r="CRN202" s="33"/>
      <c r="CRX202" s="33"/>
      <c r="CSH202" s="33"/>
      <c r="CSR202" s="33"/>
      <c r="CTB202" s="33"/>
      <c r="CTL202" s="33"/>
      <c r="CTV202" s="33"/>
    </row>
    <row r="203" s="16" customFormat="1" customHeight="1" spans="1:1020 1030:2040 2050:2570">
      <c r="A203" s="57"/>
      <c r="B203" s="52"/>
      <c r="C203" s="52"/>
      <c r="D203" s="52"/>
      <c r="E203" s="52"/>
      <c r="F203" s="58" t="str">
        <f>IFERROR(VLOOKUP(E203,日报!E:G,2,0),"")</f>
        <v/>
      </c>
      <c r="G203" s="52"/>
      <c r="H203" s="53" t="str">
        <f>IFERROR(VLOOKUP(E203,基础数据!$E$4:$H$4,4,0),"")</f>
        <v/>
      </c>
      <c r="I203" s="53" t="str">
        <f>IFERROR(VLOOKUP(E203,基础数据!$E$4:$H$4,3,0),"")</f>
        <v/>
      </c>
      <c r="J203" s="52"/>
      <c r="K203" s="54" t="str">
        <f t="shared" si="3"/>
        <v/>
      </c>
      <c r="T203" s="33"/>
      <c r="AD203" s="33"/>
      <c r="AN203" s="33"/>
      <c r="AX203" s="33"/>
      <c r="BH203" s="33"/>
      <c r="BR203" s="33"/>
      <c r="CB203" s="33"/>
      <c r="CL203" s="33"/>
      <c r="CV203" s="33"/>
      <c r="DF203" s="33"/>
      <c r="DP203" s="33"/>
      <c r="DZ203" s="33"/>
      <c r="EJ203" s="33"/>
      <c r="ET203" s="33"/>
      <c r="FD203" s="33"/>
      <c r="FN203" s="33"/>
      <c r="FX203" s="33"/>
      <c r="GH203" s="33"/>
      <c r="GR203" s="33"/>
      <c r="HB203" s="33"/>
      <c r="HL203" s="33"/>
      <c r="HV203" s="33"/>
      <c r="IF203" s="33"/>
      <c r="IP203" s="33"/>
      <c r="IZ203" s="33"/>
      <c r="JJ203" s="33"/>
      <c r="JT203" s="33"/>
      <c r="KD203" s="33"/>
      <c r="KN203" s="33"/>
      <c r="KX203" s="33"/>
      <c r="LH203" s="33"/>
      <c r="LR203" s="33"/>
      <c r="MB203" s="33"/>
      <c r="ML203" s="33"/>
      <c r="MV203" s="33"/>
      <c r="NF203" s="33"/>
      <c r="NP203" s="33"/>
      <c r="NZ203" s="33"/>
      <c r="OJ203" s="33"/>
      <c r="OT203" s="33"/>
      <c r="PD203" s="33"/>
      <c r="PN203" s="33"/>
      <c r="PX203" s="33"/>
      <c r="QH203" s="33"/>
      <c r="QR203" s="33"/>
      <c r="RB203" s="33"/>
      <c r="RL203" s="33"/>
      <c r="RV203" s="33"/>
      <c r="SF203" s="33"/>
      <c r="SP203" s="33"/>
      <c r="SZ203" s="33"/>
      <c r="TJ203" s="33"/>
      <c r="TT203" s="33"/>
      <c r="UD203" s="33"/>
      <c r="UN203" s="33"/>
      <c r="UX203" s="33"/>
      <c r="VH203" s="33"/>
      <c r="VR203" s="33"/>
      <c r="WB203" s="33"/>
      <c r="WL203" s="33"/>
      <c r="WV203" s="33"/>
      <c r="XF203" s="33"/>
      <c r="XP203" s="33"/>
      <c r="XZ203" s="33"/>
      <c r="YJ203" s="33"/>
      <c r="YT203" s="33"/>
      <c r="ZD203" s="33"/>
      <c r="ZN203" s="33"/>
      <c r="ZX203" s="33"/>
      <c r="AAH203" s="33"/>
      <c r="AAR203" s="33"/>
      <c r="ABB203" s="33"/>
      <c r="ABL203" s="33"/>
      <c r="ABV203" s="33"/>
      <c r="ACF203" s="33"/>
      <c r="ACP203" s="33"/>
      <c r="ACZ203" s="33"/>
      <c r="ADJ203" s="33"/>
      <c r="ADT203" s="33"/>
      <c r="AED203" s="33"/>
      <c r="AEN203" s="33"/>
      <c r="AEX203" s="33"/>
      <c r="AFH203" s="33"/>
      <c r="AFR203" s="33"/>
      <c r="AGB203" s="33"/>
      <c r="AGL203" s="33"/>
      <c r="AGV203" s="33"/>
      <c r="AHF203" s="33"/>
      <c r="AHP203" s="33"/>
      <c r="AHZ203" s="33"/>
      <c r="AIJ203" s="33"/>
      <c r="AIT203" s="33"/>
      <c r="AJD203" s="33"/>
      <c r="AJN203" s="33"/>
      <c r="AJX203" s="33"/>
      <c r="AKH203" s="33"/>
      <c r="AKR203" s="33"/>
      <c r="ALB203" s="33"/>
      <c r="ALL203" s="33"/>
      <c r="ALV203" s="33"/>
      <c r="AMF203" s="33"/>
      <c r="AMP203" s="33"/>
      <c r="AMZ203" s="33"/>
      <c r="ANJ203" s="33"/>
      <c r="ANT203" s="33"/>
      <c r="AOD203" s="33"/>
      <c r="AON203" s="33"/>
      <c r="AOX203" s="33"/>
      <c r="APH203" s="33"/>
      <c r="APR203" s="33"/>
      <c r="AQB203" s="33"/>
      <c r="AQL203" s="33"/>
      <c r="AQV203" s="33"/>
      <c r="ARF203" s="33"/>
      <c r="ARP203" s="33"/>
      <c r="ARZ203" s="33"/>
      <c r="ASJ203" s="33"/>
      <c r="AST203" s="33"/>
      <c r="ATD203" s="33"/>
      <c r="ATN203" s="33"/>
      <c r="ATX203" s="33"/>
      <c r="AUH203" s="33"/>
      <c r="AUR203" s="33"/>
      <c r="AVB203" s="33"/>
      <c r="AVL203" s="33"/>
      <c r="AVV203" s="33"/>
      <c r="AWF203" s="33"/>
      <c r="AWP203" s="33"/>
      <c r="AWZ203" s="33"/>
      <c r="AXJ203" s="33"/>
      <c r="AXT203" s="33"/>
      <c r="AYD203" s="33"/>
      <c r="AYN203" s="33"/>
      <c r="AYX203" s="33"/>
      <c r="AZH203" s="33"/>
      <c r="AZR203" s="33"/>
      <c r="BAB203" s="33"/>
      <c r="BAL203" s="33"/>
      <c r="BAV203" s="33"/>
      <c r="BBF203" s="33"/>
      <c r="BBP203" s="33"/>
      <c r="BBZ203" s="33"/>
      <c r="BCJ203" s="33"/>
      <c r="BCT203" s="33"/>
      <c r="BDD203" s="33"/>
      <c r="BDN203" s="33"/>
      <c r="BDX203" s="33"/>
      <c r="BEH203" s="33"/>
      <c r="BER203" s="33"/>
      <c r="BFB203" s="33"/>
      <c r="BFL203" s="33"/>
      <c r="BFV203" s="33"/>
      <c r="BGF203" s="33"/>
      <c r="BGP203" s="33"/>
      <c r="BGZ203" s="33"/>
      <c r="BHJ203" s="33"/>
      <c r="BHT203" s="33"/>
      <c r="BID203" s="33"/>
      <c r="BIN203" s="33"/>
      <c r="BIX203" s="33"/>
      <c r="BJH203" s="33"/>
      <c r="BJR203" s="33"/>
      <c r="BKB203" s="33"/>
      <c r="BKL203" s="33"/>
      <c r="BKV203" s="33"/>
      <c r="BLF203" s="33"/>
      <c r="BLP203" s="33"/>
      <c r="BLZ203" s="33"/>
      <c r="BMJ203" s="33"/>
      <c r="BMT203" s="33"/>
      <c r="BND203" s="33"/>
      <c r="BNN203" s="33"/>
      <c r="BNX203" s="33"/>
      <c r="BOH203" s="33"/>
      <c r="BOR203" s="33"/>
      <c r="BPB203" s="33"/>
      <c r="BPL203" s="33"/>
      <c r="BPV203" s="33"/>
      <c r="BQF203" s="33"/>
      <c r="BQP203" s="33"/>
      <c r="BQZ203" s="33"/>
      <c r="BRJ203" s="33"/>
      <c r="BRT203" s="33"/>
      <c r="BSD203" s="33"/>
      <c r="BSN203" s="33"/>
      <c r="BSX203" s="33"/>
      <c r="BTH203" s="33"/>
      <c r="BTR203" s="33"/>
      <c r="BUB203" s="33"/>
      <c r="BUL203" s="33"/>
      <c r="BUV203" s="33"/>
      <c r="BVF203" s="33"/>
      <c r="BVP203" s="33"/>
      <c r="BVZ203" s="33"/>
      <c r="BWJ203" s="33"/>
      <c r="BWT203" s="33"/>
      <c r="BXD203" s="33"/>
      <c r="BXN203" s="33"/>
      <c r="BXX203" s="33"/>
      <c r="BYH203" s="33"/>
      <c r="BYR203" s="33"/>
      <c r="BZB203" s="33"/>
      <c r="BZL203" s="33"/>
      <c r="BZV203" s="33"/>
      <c r="CAF203" s="33"/>
      <c r="CAP203" s="33"/>
      <c r="CAZ203" s="33"/>
      <c r="CBJ203" s="33"/>
      <c r="CBT203" s="33"/>
      <c r="CCD203" s="33"/>
      <c r="CCN203" s="33"/>
      <c r="CCX203" s="33"/>
      <c r="CDH203" s="33"/>
      <c r="CDR203" s="33"/>
      <c r="CEB203" s="33"/>
      <c r="CEL203" s="33"/>
      <c r="CEV203" s="33"/>
      <c r="CFF203" s="33"/>
      <c r="CFP203" s="33"/>
      <c r="CFZ203" s="33"/>
      <c r="CGJ203" s="33"/>
      <c r="CGT203" s="33"/>
      <c r="CHD203" s="33"/>
      <c r="CHN203" s="33"/>
      <c r="CHX203" s="33"/>
      <c r="CIH203" s="33"/>
      <c r="CIR203" s="33"/>
      <c r="CJB203" s="33"/>
      <c r="CJL203" s="33"/>
      <c r="CJV203" s="33"/>
      <c r="CKF203" s="33"/>
      <c r="CKP203" s="33"/>
      <c r="CKZ203" s="33"/>
      <c r="CLJ203" s="33"/>
      <c r="CLT203" s="33"/>
      <c r="CMD203" s="33"/>
      <c r="CMN203" s="33"/>
      <c r="CMX203" s="33"/>
      <c r="CNH203" s="33"/>
      <c r="CNR203" s="33"/>
      <c r="COB203" s="33"/>
      <c r="COL203" s="33"/>
      <c r="COV203" s="33"/>
      <c r="CPF203" s="33"/>
      <c r="CPP203" s="33"/>
      <c r="CPZ203" s="33"/>
      <c r="CQJ203" s="33"/>
      <c r="CQT203" s="33"/>
      <c r="CRD203" s="33"/>
      <c r="CRN203" s="33"/>
      <c r="CRX203" s="33"/>
      <c r="CSH203" s="33"/>
      <c r="CSR203" s="33"/>
      <c r="CTB203" s="33"/>
      <c r="CTL203" s="33"/>
      <c r="CTV203" s="33"/>
    </row>
    <row r="204" s="16" customFormat="1" customHeight="1" spans="1:1020 1030:2040 2050:2570">
      <c r="A204" s="57"/>
      <c r="B204" s="52"/>
      <c r="C204" s="52"/>
      <c r="D204" s="52"/>
      <c r="E204" s="52"/>
      <c r="F204" s="58" t="str">
        <f>IFERROR(VLOOKUP(E204,日报!E:G,2,0),"")</f>
        <v/>
      </c>
      <c r="G204" s="52"/>
      <c r="H204" s="53" t="str">
        <f>IFERROR(VLOOKUP(E204,基础数据!$E$4:$H$4,4,0),"")</f>
        <v/>
      </c>
      <c r="I204" s="53" t="str">
        <f>IFERROR(VLOOKUP(E204,基础数据!$E$4:$H$4,3,0),"")</f>
        <v/>
      </c>
      <c r="J204" s="52"/>
      <c r="K204" s="54" t="str">
        <f t="shared" si="3"/>
        <v/>
      </c>
      <c r="T204" s="33"/>
      <c r="AD204" s="33"/>
      <c r="AN204" s="33"/>
      <c r="AX204" s="33"/>
      <c r="BH204" s="33"/>
      <c r="BR204" s="33"/>
      <c r="CB204" s="33"/>
      <c r="CL204" s="33"/>
      <c r="CV204" s="33"/>
      <c r="DF204" s="33"/>
      <c r="DP204" s="33"/>
      <c r="DZ204" s="33"/>
      <c r="EJ204" s="33"/>
      <c r="ET204" s="33"/>
      <c r="FD204" s="33"/>
      <c r="FN204" s="33"/>
      <c r="FX204" s="33"/>
      <c r="GH204" s="33"/>
      <c r="GR204" s="33"/>
      <c r="HB204" s="33"/>
      <c r="HL204" s="33"/>
      <c r="HV204" s="33"/>
      <c r="IF204" s="33"/>
      <c r="IP204" s="33"/>
      <c r="IZ204" s="33"/>
      <c r="JJ204" s="33"/>
      <c r="JT204" s="33"/>
      <c r="KD204" s="33"/>
      <c r="KN204" s="33"/>
      <c r="KX204" s="33"/>
      <c r="LH204" s="33"/>
      <c r="LR204" s="33"/>
      <c r="MB204" s="33"/>
      <c r="ML204" s="33"/>
      <c r="MV204" s="33"/>
      <c r="NF204" s="33"/>
      <c r="NP204" s="33"/>
      <c r="NZ204" s="33"/>
      <c r="OJ204" s="33"/>
      <c r="OT204" s="33"/>
      <c r="PD204" s="33"/>
      <c r="PN204" s="33"/>
      <c r="PX204" s="33"/>
      <c r="QH204" s="33"/>
      <c r="QR204" s="33"/>
      <c r="RB204" s="33"/>
      <c r="RL204" s="33"/>
      <c r="RV204" s="33"/>
      <c r="SF204" s="33"/>
      <c r="SP204" s="33"/>
      <c r="SZ204" s="33"/>
      <c r="TJ204" s="33"/>
      <c r="TT204" s="33"/>
      <c r="UD204" s="33"/>
      <c r="UN204" s="33"/>
      <c r="UX204" s="33"/>
      <c r="VH204" s="33"/>
      <c r="VR204" s="33"/>
      <c r="WB204" s="33"/>
      <c r="WL204" s="33"/>
      <c r="WV204" s="33"/>
      <c r="XF204" s="33"/>
      <c r="XP204" s="33"/>
      <c r="XZ204" s="33"/>
      <c r="YJ204" s="33"/>
      <c r="YT204" s="33"/>
      <c r="ZD204" s="33"/>
      <c r="ZN204" s="33"/>
      <c r="ZX204" s="33"/>
      <c r="AAH204" s="33"/>
      <c r="AAR204" s="33"/>
      <c r="ABB204" s="33"/>
      <c r="ABL204" s="33"/>
      <c r="ABV204" s="33"/>
      <c r="ACF204" s="33"/>
      <c r="ACP204" s="33"/>
      <c r="ACZ204" s="33"/>
      <c r="ADJ204" s="33"/>
      <c r="ADT204" s="33"/>
      <c r="AED204" s="33"/>
      <c r="AEN204" s="33"/>
      <c r="AEX204" s="33"/>
      <c r="AFH204" s="33"/>
      <c r="AFR204" s="33"/>
      <c r="AGB204" s="33"/>
      <c r="AGL204" s="33"/>
      <c r="AGV204" s="33"/>
      <c r="AHF204" s="33"/>
      <c r="AHP204" s="33"/>
      <c r="AHZ204" s="33"/>
      <c r="AIJ204" s="33"/>
      <c r="AIT204" s="33"/>
      <c r="AJD204" s="33"/>
      <c r="AJN204" s="33"/>
      <c r="AJX204" s="33"/>
      <c r="AKH204" s="33"/>
      <c r="AKR204" s="33"/>
      <c r="ALB204" s="33"/>
      <c r="ALL204" s="33"/>
      <c r="ALV204" s="33"/>
      <c r="AMF204" s="33"/>
      <c r="AMP204" s="33"/>
      <c r="AMZ204" s="33"/>
      <c r="ANJ204" s="33"/>
      <c r="ANT204" s="33"/>
      <c r="AOD204" s="33"/>
      <c r="AON204" s="33"/>
      <c r="AOX204" s="33"/>
      <c r="APH204" s="33"/>
      <c r="APR204" s="33"/>
      <c r="AQB204" s="33"/>
      <c r="AQL204" s="33"/>
      <c r="AQV204" s="33"/>
      <c r="ARF204" s="33"/>
      <c r="ARP204" s="33"/>
      <c r="ARZ204" s="33"/>
      <c r="ASJ204" s="33"/>
      <c r="AST204" s="33"/>
      <c r="ATD204" s="33"/>
      <c r="ATN204" s="33"/>
      <c r="ATX204" s="33"/>
      <c r="AUH204" s="33"/>
      <c r="AUR204" s="33"/>
      <c r="AVB204" s="33"/>
      <c r="AVL204" s="33"/>
      <c r="AVV204" s="33"/>
      <c r="AWF204" s="33"/>
      <c r="AWP204" s="33"/>
      <c r="AWZ204" s="33"/>
      <c r="AXJ204" s="33"/>
      <c r="AXT204" s="33"/>
      <c r="AYD204" s="33"/>
      <c r="AYN204" s="33"/>
      <c r="AYX204" s="33"/>
      <c r="AZH204" s="33"/>
      <c r="AZR204" s="33"/>
      <c r="BAB204" s="33"/>
      <c r="BAL204" s="33"/>
      <c r="BAV204" s="33"/>
      <c r="BBF204" s="33"/>
      <c r="BBP204" s="33"/>
      <c r="BBZ204" s="33"/>
      <c r="BCJ204" s="33"/>
      <c r="BCT204" s="33"/>
      <c r="BDD204" s="33"/>
      <c r="BDN204" s="33"/>
      <c r="BDX204" s="33"/>
      <c r="BEH204" s="33"/>
      <c r="BER204" s="33"/>
      <c r="BFB204" s="33"/>
      <c r="BFL204" s="33"/>
      <c r="BFV204" s="33"/>
      <c r="BGF204" s="33"/>
      <c r="BGP204" s="33"/>
      <c r="BGZ204" s="33"/>
      <c r="BHJ204" s="33"/>
      <c r="BHT204" s="33"/>
      <c r="BID204" s="33"/>
      <c r="BIN204" s="33"/>
      <c r="BIX204" s="33"/>
      <c r="BJH204" s="33"/>
      <c r="BJR204" s="33"/>
      <c r="BKB204" s="33"/>
      <c r="BKL204" s="33"/>
      <c r="BKV204" s="33"/>
      <c r="BLF204" s="33"/>
      <c r="BLP204" s="33"/>
      <c r="BLZ204" s="33"/>
      <c r="BMJ204" s="33"/>
      <c r="BMT204" s="33"/>
      <c r="BND204" s="33"/>
      <c r="BNN204" s="33"/>
      <c r="BNX204" s="33"/>
      <c r="BOH204" s="33"/>
      <c r="BOR204" s="33"/>
      <c r="BPB204" s="33"/>
      <c r="BPL204" s="33"/>
      <c r="BPV204" s="33"/>
      <c r="BQF204" s="33"/>
      <c r="BQP204" s="33"/>
      <c r="BQZ204" s="33"/>
      <c r="BRJ204" s="33"/>
      <c r="BRT204" s="33"/>
      <c r="BSD204" s="33"/>
      <c r="BSN204" s="33"/>
      <c r="BSX204" s="33"/>
      <c r="BTH204" s="33"/>
      <c r="BTR204" s="33"/>
      <c r="BUB204" s="33"/>
      <c r="BUL204" s="33"/>
      <c r="BUV204" s="33"/>
      <c r="BVF204" s="33"/>
      <c r="BVP204" s="33"/>
      <c r="BVZ204" s="33"/>
      <c r="BWJ204" s="33"/>
      <c r="BWT204" s="33"/>
      <c r="BXD204" s="33"/>
      <c r="BXN204" s="33"/>
      <c r="BXX204" s="33"/>
      <c r="BYH204" s="33"/>
      <c r="BYR204" s="33"/>
      <c r="BZB204" s="33"/>
      <c r="BZL204" s="33"/>
      <c r="BZV204" s="33"/>
      <c r="CAF204" s="33"/>
      <c r="CAP204" s="33"/>
      <c r="CAZ204" s="33"/>
      <c r="CBJ204" s="33"/>
      <c r="CBT204" s="33"/>
      <c r="CCD204" s="33"/>
      <c r="CCN204" s="33"/>
      <c r="CCX204" s="33"/>
      <c r="CDH204" s="33"/>
      <c r="CDR204" s="33"/>
      <c r="CEB204" s="33"/>
      <c r="CEL204" s="33"/>
      <c r="CEV204" s="33"/>
      <c r="CFF204" s="33"/>
      <c r="CFP204" s="33"/>
      <c r="CFZ204" s="33"/>
      <c r="CGJ204" s="33"/>
      <c r="CGT204" s="33"/>
      <c r="CHD204" s="33"/>
      <c r="CHN204" s="33"/>
      <c r="CHX204" s="33"/>
      <c r="CIH204" s="33"/>
      <c r="CIR204" s="33"/>
      <c r="CJB204" s="33"/>
      <c r="CJL204" s="33"/>
      <c r="CJV204" s="33"/>
      <c r="CKF204" s="33"/>
      <c r="CKP204" s="33"/>
      <c r="CKZ204" s="33"/>
      <c r="CLJ204" s="33"/>
      <c r="CLT204" s="33"/>
      <c r="CMD204" s="33"/>
      <c r="CMN204" s="33"/>
      <c r="CMX204" s="33"/>
      <c r="CNH204" s="33"/>
      <c r="CNR204" s="33"/>
      <c r="COB204" s="33"/>
      <c r="COL204" s="33"/>
      <c r="COV204" s="33"/>
      <c r="CPF204" s="33"/>
      <c r="CPP204" s="33"/>
      <c r="CPZ204" s="33"/>
      <c r="CQJ204" s="33"/>
      <c r="CQT204" s="33"/>
      <c r="CRD204" s="33"/>
      <c r="CRN204" s="33"/>
      <c r="CRX204" s="33"/>
      <c r="CSH204" s="33"/>
      <c r="CSR204" s="33"/>
      <c r="CTB204" s="33"/>
      <c r="CTL204" s="33"/>
      <c r="CTV204" s="33"/>
    </row>
    <row r="205" s="16" customFormat="1" customHeight="1" spans="1:1020 1030:2040 2050:2570">
      <c r="A205" s="57"/>
      <c r="B205" s="52"/>
      <c r="C205" s="52"/>
      <c r="D205" s="52"/>
      <c r="E205" s="52"/>
      <c r="F205" s="58" t="str">
        <f>IFERROR(VLOOKUP(E205,日报!E:G,2,0),"")</f>
        <v/>
      </c>
      <c r="G205" s="52"/>
      <c r="H205" s="53" t="str">
        <f>IFERROR(VLOOKUP(E205,基础数据!$E$4:$H$4,4,0),"")</f>
        <v/>
      </c>
      <c r="I205" s="53" t="str">
        <f>IFERROR(VLOOKUP(E205,基础数据!$E$4:$H$4,3,0),"")</f>
        <v/>
      </c>
      <c r="J205" s="52"/>
      <c r="K205" s="54" t="str">
        <f t="shared" si="3"/>
        <v/>
      </c>
      <c r="T205" s="33"/>
      <c r="AD205" s="33"/>
      <c r="AN205" s="33"/>
      <c r="AX205" s="33"/>
      <c r="BH205" s="33"/>
      <c r="BR205" s="33"/>
      <c r="CB205" s="33"/>
      <c r="CL205" s="33"/>
      <c r="CV205" s="33"/>
      <c r="DF205" s="33"/>
      <c r="DP205" s="33"/>
      <c r="DZ205" s="33"/>
      <c r="EJ205" s="33"/>
      <c r="ET205" s="33"/>
      <c r="FD205" s="33"/>
      <c r="FN205" s="33"/>
      <c r="FX205" s="33"/>
      <c r="GH205" s="33"/>
      <c r="GR205" s="33"/>
      <c r="HB205" s="33"/>
      <c r="HL205" s="33"/>
      <c r="HV205" s="33"/>
      <c r="IF205" s="33"/>
      <c r="IP205" s="33"/>
      <c r="IZ205" s="33"/>
      <c r="JJ205" s="33"/>
      <c r="JT205" s="33"/>
      <c r="KD205" s="33"/>
      <c r="KN205" s="33"/>
      <c r="KX205" s="33"/>
      <c r="LH205" s="33"/>
      <c r="LR205" s="33"/>
      <c r="MB205" s="33"/>
      <c r="ML205" s="33"/>
      <c r="MV205" s="33"/>
      <c r="NF205" s="33"/>
      <c r="NP205" s="33"/>
      <c r="NZ205" s="33"/>
      <c r="OJ205" s="33"/>
      <c r="OT205" s="33"/>
      <c r="PD205" s="33"/>
      <c r="PN205" s="33"/>
      <c r="PX205" s="33"/>
      <c r="QH205" s="33"/>
      <c r="QR205" s="33"/>
      <c r="RB205" s="33"/>
      <c r="RL205" s="33"/>
      <c r="RV205" s="33"/>
      <c r="SF205" s="33"/>
      <c r="SP205" s="33"/>
      <c r="SZ205" s="33"/>
      <c r="TJ205" s="33"/>
      <c r="TT205" s="33"/>
      <c r="UD205" s="33"/>
      <c r="UN205" s="33"/>
      <c r="UX205" s="33"/>
      <c r="VH205" s="33"/>
      <c r="VR205" s="33"/>
      <c r="WB205" s="33"/>
      <c r="WL205" s="33"/>
      <c r="WV205" s="33"/>
      <c r="XF205" s="33"/>
      <c r="XP205" s="33"/>
      <c r="XZ205" s="33"/>
      <c r="YJ205" s="33"/>
      <c r="YT205" s="33"/>
      <c r="ZD205" s="33"/>
      <c r="ZN205" s="33"/>
      <c r="ZX205" s="33"/>
      <c r="AAH205" s="33"/>
      <c r="AAR205" s="33"/>
      <c r="ABB205" s="33"/>
      <c r="ABL205" s="33"/>
      <c r="ABV205" s="33"/>
      <c r="ACF205" s="33"/>
      <c r="ACP205" s="33"/>
      <c r="ACZ205" s="33"/>
      <c r="ADJ205" s="33"/>
      <c r="ADT205" s="33"/>
      <c r="AED205" s="33"/>
      <c r="AEN205" s="33"/>
      <c r="AEX205" s="33"/>
      <c r="AFH205" s="33"/>
      <c r="AFR205" s="33"/>
      <c r="AGB205" s="33"/>
      <c r="AGL205" s="33"/>
      <c r="AGV205" s="33"/>
      <c r="AHF205" s="33"/>
      <c r="AHP205" s="33"/>
      <c r="AHZ205" s="33"/>
      <c r="AIJ205" s="33"/>
      <c r="AIT205" s="33"/>
      <c r="AJD205" s="33"/>
      <c r="AJN205" s="33"/>
      <c r="AJX205" s="33"/>
      <c r="AKH205" s="33"/>
      <c r="AKR205" s="33"/>
      <c r="ALB205" s="33"/>
      <c r="ALL205" s="33"/>
      <c r="ALV205" s="33"/>
      <c r="AMF205" s="33"/>
      <c r="AMP205" s="33"/>
      <c r="AMZ205" s="33"/>
      <c r="ANJ205" s="33"/>
      <c r="ANT205" s="33"/>
      <c r="AOD205" s="33"/>
      <c r="AON205" s="33"/>
      <c r="AOX205" s="33"/>
      <c r="APH205" s="33"/>
      <c r="APR205" s="33"/>
      <c r="AQB205" s="33"/>
      <c r="AQL205" s="33"/>
      <c r="AQV205" s="33"/>
      <c r="ARF205" s="33"/>
      <c r="ARP205" s="33"/>
      <c r="ARZ205" s="33"/>
      <c r="ASJ205" s="33"/>
      <c r="AST205" s="33"/>
      <c r="ATD205" s="33"/>
      <c r="ATN205" s="33"/>
      <c r="ATX205" s="33"/>
      <c r="AUH205" s="33"/>
      <c r="AUR205" s="33"/>
      <c r="AVB205" s="33"/>
      <c r="AVL205" s="33"/>
      <c r="AVV205" s="33"/>
      <c r="AWF205" s="33"/>
      <c r="AWP205" s="33"/>
      <c r="AWZ205" s="33"/>
      <c r="AXJ205" s="33"/>
      <c r="AXT205" s="33"/>
      <c r="AYD205" s="33"/>
      <c r="AYN205" s="33"/>
      <c r="AYX205" s="33"/>
      <c r="AZH205" s="33"/>
      <c r="AZR205" s="33"/>
      <c r="BAB205" s="33"/>
      <c r="BAL205" s="33"/>
      <c r="BAV205" s="33"/>
      <c r="BBF205" s="33"/>
      <c r="BBP205" s="33"/>
      <c r="BBZ205" s="33"/>
      <c r="BCJ205" s="33"/>
      <c r="BCT205" s="33"/>
      <c r="BDD205" s="33"/>
      <c r="BDN205" s="33"/>
      <c r="BDX205" s="33"/>
      <c r="BEH205" s="33"/>
      <c r="BER205" s="33"/>
      <c r="BFB205" s="33"/>
      <c r="BFL205" s="33"/>
      <c r="BFV205" s="33"/>
      <c r="BGF205" s="33"/>
      <c r="BGP205" s="33"/>
      <c r="BGZ205" s="33"/>
      <c r="BHJ205" s="33"/>
      <c r="BHT205" s="33"/>
      <c r="BID205" s="33"/>
      <c r="BIN205" s="33"/>
      <c r="BIX205" s="33"/>
      <c r="BJH205" s="33"/>
      <c r="BJR205" s="33"/>
      <c r="BKB205" s="33"/>
      <c r="BKL205" s="33"/>
      <c r="BKV205" s="33"/>
      <c r="BLF205" s="33"/>
      <c r="BLP205" s="33"/>
      <c r="BLZ205" s="33"/>
      <c r="BMJ205" s="33"/>
      <c r="BMT205" s="33"/>
      <c r="BND205" s="33"/>
      <c r="BNN205" s="33"/>
      <c r="BNX205" s="33"/>
      <c r="BOH205" s="33"/>
      <c r="BOR205" s="33"/>
      <c r="BPB205" s="33"/>
      <c r="BPL205" s="33"/>
      <c r="BPV205" s="33"/>
      <c r="BQF205" s="33"/>
      <c r="BQP205" s="33"/>
      <c r="BQZ205" s="33"/>
      <c r="BRJ205" s="33"/>
      <c r="BRT205" s="33"/>
      <c r="BSD205" s="33"/>
      <c r="BSN205" s="33"/>
      <c r="BSX205" s="33"/>
      <c r="BTH205" s="33"/>
      <c r="BTR205" s="33"/>
      <c r="BUB205" s="33"/>
      <c r="BUL205" s="33"/>
      <c r="BUV205" s="33"/>
      <c r="BVF205" s="33"/>
      <c r="BVP205" s="33"/>
      <c r="BVZ205" s="33"/>
      <c r="BWJ205" s="33"/>
      <c r="BWT205" s="33"/>
      <c r="BXD205" s="33"/>
      <c r="BXN205" s="33"/>
      <c r="BXX205" s="33"/>
      <c r="BYH205" s="33"/>
      <c r="BYR205" s="33"/>
      <c r="BZB205" s="33"/>
      <c r="BZL205" s="33"/>
      <c r="BZV205" s="33"/>
      <c r="CAF205" s="33"/>
      <c r="CAP205" s="33"/>
      <c r="CAZ205" s="33"/>
      <c r="CBJ205" s="33"/>
      <c r="CBT205" s="33"/>
      <c r="CCD205" s="33"/>
      <c r="CCN205" s="33"/>
      <c r="CCX205" s="33"/>
      <c r="CDH205" s="33"/>
      <c r="CDR205" s="33"/>
      <c r="CEB205" s="33"/>
      <c r="CEL205" s="33"/>
      <c r="CEV205" s="33"/>
      <c r="CFF205" s="33"/>
      <c r="CFP205" s="33"/>
      <c r="CFZ205" s="33"/>
      <c r="CGJ205" s="33"/>
      <c r="CGT205" s="33"/>
      <c r="CHD205" s="33"/>
      <c r="CHN205" s="33"/>
      <c r="CHX205" s="33"/>
      <c r="CIH205" s="33"/>
      <c r="CIR205" s="33"/>
      <c r="CJB205" s="33"/>
      <c r="CJL205" s="33"/>
      <c r="CJV205" s="33"/>
      <c r="CKF205" s="33"/>
      <c r="CKP205" s="33"/>
      <c r="CKZ205" s="33"/>
      <c r="CLJ205" s="33"/>
      <c r="CLT205" s="33"/>
      <c r="CMD205" s="33"/>
      <c r="CMN205" s="33"/>
      <c r="CMX205" s="33"/>
      <c r="CNH205" s="33"/>
      <c r="CNR205" s="33"/>
      <c r="COB205" s="33"/>
      <c r="COL205" s="33"/>
      <c r="COV205" s="33"/>
      <c r="CPF205" s="33"/>
      <c r="CPP205" s="33"/>
      <c r="CPZ205" s="33"/>
      <c r="CQJ205" s="33"/>
      <c r="CQT205" s="33"/>
      <c r="CRD205" s="33"/>
      <c r="CRN205" s="33"/>
      <c r="CRX205" s="33"/>
      <c r="CSH205" s="33"/>
      <c r="CSR205" s="33"/>
      <c r="CTB205" s="33"/>
      <c r="CTL205" s="33"/>
      <c r="CTV205" s="33"/>
    </row>
    <row r="206" s="16" customFormat="1" customHeight="1" spans="1:1020 1030:2040 2050:2570">
      <c r="A206" s="57"/>
      <c r="B206" s="52"/>
      <c r="C206" s="52"/>
      <c r="D206" s="52"/>
      <c r="E206" s="52"/>
      <c r="F206" s="58" t="str">
        <f>IFERROR(VLOOKUP(E206,日报!E:G,2,0),"")</f>
        <v/>
      </c>
      <c r="G206" s="52"/>
      <c r="H206" s="53" t="str">
        <f>IFERROR(VLOOKUP(E206,基础数据!$E$4:$H$4,4,0),"")</f>
        <v/>
      </c>
      <c r="I206" s="53" t="str">
        <f>IFERROR(VLOOKUP(E206,基础数据!$E$4:$H$4,3,0),"")</f>
        <v/>
      </c>
      <c r="J206" s="52"/>
      <c r="K206" s="54" t="str">
        <f t="shared" si="3"/>
        <v/>
      </c>
      <c r="T206" s="33"/>
      <c r="AD206" s="33"/>
      <c r="AN206" s="33"/>
      <c r="AX206" s="33"/>
      <c r="BH206" s="33"/>
      <c r="BR206" s="33"/>
      <c r="CB206" s="33"/>
      <c r="CL206" s="33"/>
      <c r="CV206" s="33"/>
      <c r="DF206" s="33"/>
      <c r="DP206" s="33"/>
      <c r="DZ206" s="33"/>
      <c r="EJ206" s="33"/>
      <c r="ET206" s="33"/>
      <c r="FD206" s="33"/>
      <c r="FN206" s="33"/>
      <c r="FX206" s="33"/>
      <c r="GH206" s="33"/>
      <c r="GR206" s="33"/>
      <c r="HB206" s="33"/>
      <c r="HL206" s="33"/>
      <c r="HV206" s="33"/>
      <c r="IF206" s="33"/>
      <c r="IP206" s="33"/>
      <c r="IZ206" s="33"/>
      <c r="JJ206" s="33"/>
      <c r="JT206" s="33"/>
      <c r="KD206" s="33"/>
      <c r="KN206" s="33"/>
      <c r="KX206" s="33"/>
      <c r="LH206" s="33"/>
      <c r="LR206" s="33"/>
      <c r="MB206" s="33"/>
      <c r="ML206" s="33"/>
      <c r="MV206" s="33"/>
      <c r="NF206" s="33"/>
      <c r="NP206" s="33"/>
      <c r="NZ206" s="33"/>
      <c r="OJ206" s="33"/>
      <c r="OT206" s="33"/>
      <c r="PD206" s="33"/>
      <c r="PN206" s="33"/>
      <c r="PX206" s="33"/>
      <c r="QH206" s="33"/>
      <c r="QR206" s="33"/>
      <c r="RB206" s="33"/>
      <c r="RL206" s="33"/>
      <c r="RV206" s="33"/>
      <c r="SF206" s="33"/>
      <c r="SP206" s="33"/>
      <c r="SZ206" s="33"/>
      <c r="TJ206" s="33"/>
      <c r="TT206" s="33"/>
      <c r="UD206" s="33"/>
      <c r="UN206" s="33"/>
      <c r="UX206" s="33"/>
      <c r="VH206" s="33"/>
      <c r="VR206" s="33"/>
      <c r="WB206" s="33"/>
      <c r="WL206" s="33"/>
      <c r="WV206" s="33"/>
      <c r="XF206" s="33"/>
      <c r="XP206" s="33"/>
      <c r="XZ206" s="33"/>
      <c r="YJ206" s="33"/>
      <c r="YT206" s="33"/>
      <c r="ZD206" s="33"/>
      <c r="ZN206" s="33"/>
      <c r="ZX206" s="33"/>
      <c r="AAH206" s="33"/>
      <c r="AAR206" s="33"/>
      <c r="ABB206" s="33"/>
      <c r="ABL206" s="33"/>
      <c r="ABV206" s="33"/>
      <c r="ACF206" s="33"/>
      <c r="ACP206" s="33"/>
      <c r="ACZ206" s="33"/>
      <c r="ADJ206" s="33"/>
      <c r="ADT206" s="33"/>
      <c r="AED206" s="33"/>
      <c r="AEN206" s="33"/>
      <c r="AEX206" s="33"/>
      <c r="AFH206" s="33"/>
      <c r="AFR206" s="33"/>
      <c r="AGB206" s="33"/>
      <c r="AGL206" s="33"/>
      <c r="AGV206" s="33"/>
      <c r="AHF206" s="33"/>
      <c r="AHP206" s="33"/>
      <c r="AHZ206" s="33"/>
      <c r="AIJ206" s="33"/>
      <c r="AIT206" s="33"/>
      <c r="AJD206" s="33"/>
      <c r="AJN206" s="33"/>
      <c r="AJX206" s="33"/>
      <c r="AKH206" s="33"/>
      <c r="AKR206" s="33"/>
      <c r="ALB206" s="33"/>
      <c r="ALL206" s="33"/>
      <c r="ALV206" s="33"/>
      <c r="AMF206" s="33"/>
      <c r="AMP206" s="33"/>
      <c r="AMZ206" s="33"/>
      <c r="ANJ206" s="33"/>
      <c r="ANT206" s="33"/>
      <c r="AOD206" s="33"/>
      <c r="AON206" s="33"/>
      <c r="AOX206" s="33"/>
      <c r="APH206" s="33"/>
      <c r="APR206" s="33"/>
      <c r="AQB206" s="33"/>
      <c r="AQL206" s="33"/>
      <c r="AQV206" s="33"/>
      <c r="ARF206" s="33"/>
      <c r="ARP206" s="33"/>
      <c r="ARZ206" s="33"/>
      <c r="ASJ206" s="33"/>
      <c r="AST206" s="33"/>
      <c r="ATD206" s="33"/>
      <c r="ATN206" s="33"/>
      <c r="ATX206" s="33"/>
      <c r="AUH206" s="33"/>
      <c r="AUR206" s="33"/>
      <c r="AVB206" s="33"/>
      <c r="AVL206" s="33"/>
      <c r="AVV206" s="33"/>
      <c r="AWF206" s="33"/>
      <c r="AWP206" s="33"/>
      <c r="AWZ206" s="33"/>
      <c r="AXJ206" s="33"/>
      <c r="AXT206" s="33"/>
      <c r="AYD206" s="33"/>
      <c r="AYN206" s="33"/>
      <c r="AYX206" s="33"/>
      <c r="AZH206" s="33"/>
      <c r="AZR206" s="33"/>
      <c r="BAB206" s="33"/>
      <c r="BAL206" s="33"/>
      <c r="BAV206" s="33"/>
      <c r="BBF206" s="33"/>
      <c r="BBP206" s="33"/>
      <c r="BBZ206" s="33"/>
      <c r="BCJ206" s="33"/>
      <c r="BCT206" s="33"/>
      <c r="BDD206" s="33"/>
      <c r="BDN206" s="33"/>
      <c r="BDX206" s="33"/>
      <c r="BEH206" s="33"/>
      <c r="BER206" s="33"/>
      <c r="BFB206" s="33"/>
      <c r="BFL206" s="33"/>
      <c r="BFV206" s="33"/>
      <c r="BGF206" s="33"/>
      <c r="BGP206" s="33"/>
      <c r="BGZ206" s="33"/>
      <c r="BHJ206" s="33"/>
      <c r="BHT206" s="33"/>
      <c r="BID206" s="33"/>
      <c r="BIN206" s="33"/>
      <c r="BIX206" s="33"/>
      <c r="BJH206" s="33"/>
      <c r="BJR206" s="33"/>
      <c r="BKB206" s="33"/>
      <c r="BKL206" s="33"/>
      <c r="BKV206" s="33"/>
      <c r="BLF206" s="33"/>
      <c r="BLP206" s="33"/>
      <c r="BLZ206" s="33"/>
      <c r="BMJ206" s="33"/>
      <c r="BMT206" s="33"/>
      <c r="BND206" s="33"/>
      <c r="BNN206" s="33"/>
      <c r="BNX206" s="33"/>
      <c r="BOH206" s="33"/>
      <c r="BOR206" s="33"/>
      <c r="BPB206" s="33"/>
      <c r="BPL206" s="33"/>
      <c r="BPV206" s="33"/>
      <c r="BQF206" s="33"/>
      <c r="BQP206" s="33"/>
      <c r="BQZ206" s="33"/>
      <c r="BRJ206" s="33"/>
      <c r="BRT206" s="33"/>
      <c r="BSD206" s="33"/>
      <c r="BSN206" s="33"/>
      <c r="BSX206" s="33"/>
      <c r="BTH206" s="33"/>
      <c r="BTR206" s="33"/>
      <c r="BUB206" s="33"/>
      <c r="BUL206" s="33"/>
      <c r="BUV206" s="33"/>
      <c r="BVF206" s="33"/>
      <c r="BVP206" s="33"/>
      <c r="BVZ206" s="33"/>
      <c r="BWJ206" s="33"/>
      <c r="BWT206" s="33"/>
      <c r="BXD206" s="33"/>
      <c r="BXN206" s="33"/>
      <c r="BXX206" s="33"/>
      <c r="BYH206" s="33"/>
      <c r="BYR206" s="33"/>
      <c r="BZB206" s="33"/>
      <c r="BZL206" s="33"/>
      <c r="BZV206" s="33"/>
      <c r="CAF206" s="33"/>
      <c r="CAP206" s="33"/>
      <c r="CAZ206" s="33"/>
      <c r="CBJ206" s="33"/>
      <c r="CBT206" s="33"/>
      <c r="CCD206" s="33"/>
      <c r="CCN206" s="33"/>
      <c r="CCX206" s="33"/>
      <c r="CDH206" s="33"/>
      <c r="CDR206" s="33"/>
      <c r="CEB206" s="33"/>
      <c r="CEL206" s="33"/>
      <c r="CEV206" s="33"/>
      <c r="CFF206" s="33"/>
      <c r="CFP206" s="33"/>
      <c r="CFZ206" s="33"/>
      <c r="CGJ206" s="33"/>
      <c r="CGT206" s="33"/>
      <c r="CHD206" s="33"/>
      <c r="CHN206" s="33"/>
      <c r="CHX206" s="33"/>
      <c r="CIH206" s="33"/>
      <c r="CIR206" s="33"/>
      <c r="CJB206" s="33"/>
      <c r="CJL206" s="33"/>
      <c r="CJV206" s="33"/>
      <c r="CKF206" s="33"/>
      <c r="CKP206" s="33"/>
      <c r="CKZ206" s="33"/>
      <c r="CLJ206" s="33"/>
      <c r="CLT206" s="33"/>
      <c r="CMD206" s="33"/>
      <c r="CMN206" s="33"/>
      <c r="CMX206" s="33"/>
      <c r="CNH206" s="33"/>
      <c r="CNR206" s="33"/>
      <c r="COB206" s="33"/>
      <c r="COL206" s="33"/>
      <c r="COV206" s="33"/>
      <c r="CPF206" s="33"/>
      <c r="CPP206" s="33"/>
      <c r="CPZ206" s="33"/>
      <c r="CQJ206" s="33"/>
      <c r="CQT206" s="33"/>
      <c r="CRD206" s="33"/>
      <c r="CRN206" s="33"/>
      <c r="CRX206" s="33"/>
      <c r="CSH206" s="33"/>
      <c r="CSR206" s="33"/>
      <c r="CTB206" s="33"/>
      <c r="CTL206" s="33"/>
      <c r="CTV206" s="33"/>
    </row>
    <row r="207" s="16" customFormat="1" customHeight="1" spans="1:1020 1030:2040 2050:2570">
      <c r="A207" s="57"/>
      <c r="B207" s="52"/>
      <c r="C207" s="52"/>
      <c r="D207" s="52"/>
      <c r="E207" s="52"/>
      <c r="F207" s="58" t="str">
        <f>IFERROR(VLOOKUP(E207,日报!E:G,2,0),"")</f>
        <v/>
      </c>
      <c r="G207" s="52"/>
      <c r="H207" s="53" t="str">
        <f>IFERROR(VLOOKUP(E207,基础数据!$E$4:$H$4,4,0),"")</f>
        <v/>
      </c>
      <c r="I207" s="53" t="str">
        <f>IFERROR(VLOOKUP(E207,基础数据!$E$4:$H$4,3,0),"")</f>
        <v/>
      </c>
      <c r="J207" s="52"/>
      <c r="K207" s="54" t="str">
        <f t="shared" si="3"/>
        <v/>
      </c>
      <c r="T207" s="33"/>
      <c r="AD207" s="33"/>
      <c r="AN207" s="33"/>
      <c r="AX207" s="33"/>
      <c r="BH207" s="33"/>
      <c r="BR207" s="33"/>
      <c r="CB207" s="33"/>
      <c r="CL207" s="33"/>
      <c r="CV207" s="33"/>
      <c r="DF207" s="33"/>
      <c r="DP207" s="33"/>
      <c r="DZ207" s="33"/>
      <c r="EJ207" s="33"/>
      <c r="ET207" s="33"/>
      <c r="FD207" s="33"/>
      <c r="FN207" s="33"/>
      <c r="FX207" s="33"/>
      <c r="GH207" s="33"/>
      <c r="GR207" s="33"/>
      <c r="HB207" s="33"/>
      <c r="HL207" s="33"/>
      <c r="HV207" s="33"/>
      <c r="IF207" s="33"/>
      <c r="IP207" s="33"/>
      <c r="IZ207" s="33"/>
      <c r="JJ207" s="33"/>
      <c r="JT207" s="33"/>
      <c r="KD207" s="33"/>
      <c r="KN207" s="33"/>
      <c r="KX207" s="33"/>
      <c r="LH207" s="33"/>
      <c r="LR207" s="33"/>
      <c r="MB207" s="33"/>
      <c r="ML207" s="33"/>
      <c r="MV207" s="33"/>
      <c r="NF207" s="33"/>
      <c r="NP207" s="33"/>
      <c r="NZ207" s="33"/>
      <c r="OJ207" s="33"/>
      <c r="OT207" s="33"/>
      <c r="PD207" s="33"/>
      <c r="PN207" s="33"/>
      <c r="PX207" s="33"/>
      <c r="QH207" s="33"/>
      <c r="QR207" s="33"/>
      <c r="RB207" s="33"/>
      <c r="RL207" s="33"/>
      <c r="RV207" s="33"/>
      <c r="SF207" s="33"/>
      <c r="SP207" s="33"/>
      <c r="SZ207" s="33"/>
      <c r="TJ207" s="33"/>
      <c r="TT207" s="33"/>
      <c r="UD207" s="33"/>
      <c r="UN207" s="33"/>
      <c r="UX207" s="33"/>
      <c r="VH207" s="33"/>
      <c r="VR207" s="33"/>
      <c r="WB207" s="33"/>
      <c r="WL207" s="33"/>
      <c r="WV207" s="33"/>
      <c r="XF207" s="33"/>
      <c r="XP207" s="33"/>
      <c r="XZ207" s="33"/>
      <c r="YJ207" s="33"/>
      <c r="YT207" s="33"/>
      <c r="ZD207" s="33"/>
      <c r="ZN207" s="33"/>
      <c r="ZX207" s="33"/>
      <c r="AAH207" s="33"/>
      <c r="AAR207" s="33"/>
      <c r="ABB207" s="33"/>
      <c r="ABL207" s="33"/>
      <c r="ABV207" s="33"/>
      <c r="ACF207" s="33"/>
      <c r="ACP207" s="33"/>
      <c r="ACZ207" s="33"/>
      <c r="ADJ207" s="33"/>
      <c r="ADT207" s="33"/>
      <c r="AED207" s="33"/>
      <c r="AEN207" s="33"/>
      <c r="AEX207" s="33"/>
      <c r="AFH207" s="33"/>
      <c r="AFR207" s="33"/>
      <c r="AGB207" s="33"/>
      <c r="AGL207" s="33"/>
      <c r="AGV207" s="33"/>
      <c r="AHF207" s="33"/>
      <c r="AHP207" s="33"/>
      <c r="AHZ207" s="33"/>
      <c r="AIJ207" s="33"/>
      <c r="AIT207" s="33"/>
      <c r="AJD207" s="33"/>
      <c r="AJN207" s="33"/>
      <c r="AJX207" s="33"/>
      <c r="AKH207" s="33"/>
      <c r="AKR207" s="33"/>
      <c r="ALB207" s="33"/>
      <c r="ALL207" s="33"/>
      <c r="ALV207" s="33"/>
      <c r="AMF207" s="33"/>
      <c r="AMP207" s="33"/>
      <c r="AMZ207" s="33"/>
      <c r="ANJ207" s="33"/>
      <c r="ANT207" s="33"/>
      <c r="AOD207" s="33"/>
      <c r="AON207" s="33"/>
      <c r="AOX207" s="33"/>
      <c r="APH207" s="33"/>
      <c r="APR207" s="33"/>
      <c r="AQB207" s="33"/>
      <c r="AQL207" s="33"/>
      <c r="AQV207" s="33"/>
      <c r="ARF207" s="33"/>
      <c r="ARP207" s="33"/>
      <c r="ARZ207" s="33"/>
      <c r="ASJ207" s="33"/>
      <c r="AST207" s="33"/>
      <c r="ATD207" s="33"/>
      <c r="ATN207" s="33"/>
      <c r="ATX207" s="33"/>
      <c r="AUH207" s="33"/>
      <c r="AUR207" s="33"/>
      <c r="AVB207" s="33"/>
      <c r="AVL207" s="33"/>
      <c r="AVV207" s="33"/>
      <c r="AWF207" s="33"/>
      <c r="AWP207" s="33"/>
      <c r="AWZ207" s="33"/>
      <c r="AXJ207" s="33"/>
      <c r="AXT207" s="33"/>
      <c r="AYD207" s="33"/>
      <c r="AYN207" s="33"/>
      <c r="AYX207" s="33"/>
      <c r="AZH207" s="33"/>
      <c r="AZR207" s="33"/>
      <c r="BAB207" s="33"/>
      <c r="BAL207" s="33"/>
      <c r="BAV207" s="33"/>
      <c r="BBF207" s="33"/>
      <c r="BBP207" s="33"/>
      <c r="BBZ207" s="33"/>
      <c r="BCJ207" s="33"/>
      <c r="BCT207" s="33"/>
      <c r="BDD207" s="33"/>
      <c r="BDN207" s="33"/>
      <c r="BDX207" s="33"/>
      <c r="BEH207" s="33"/>
      <c r="BER207" s="33"/>
      <c r="BFB207" s="33"/>
      <c r="BFL207" s="33"/>
      <c r="BFV207" s="33"/>
      <c r="BGF207" s="33"/>
      <c r="BGP207" s="33"/>
      <c r="BGZ207" s="33"/>
      <c r="BHJ207" s="33"/>
      <c r="BHT207" s="33"/>
      <c r="BID207" s="33"/>
      <c r="BIN207" s="33"/>
      <c r="BIX207" s="33"/>
      <c r="BJH207" s="33"/>
      <c r="BJR207" s="33"/>
      <c r="BKB207" s="33"/>
      <c r="BKL207" s="33"/>
      <c r="BKV207" s="33"/>
      <c r="BLF207" s="33"/>
      <c r="BLP207" s="33"/>
      <c r="BLZ207" s="33"/>
      <c r="BMJ207" s="33"/>
      <c r="BMT207" s="33"/>
      <c r="BND207" s="33"/>
      <c r="BNN207" s="33"/>
      <c r="BNX207" s="33"/>
      <c r="BOH207" s="33"/>
      <c r="BOR207" s="33"/>
      <c r="BPB207" s="33"/>
      <c r="BPL207" s="33"/>
      <c r="BPV207" s="33"/>
      <c r="BQF207" s="33"/>
      <c r="BQP207" s="33"/>
      <c r="BQZ207" s="33"/>
      <c r="BRJ207" s="33"/>
      <c r="BRT207" s="33"/>
      <c r="BSD207" s="33"/>
      <c r="BSN207" s="33"/>
      <c r="BSX207" s="33"/>
      <c r="BTH207" s="33"/>
      <c r="BTR207" s="33"/>
      <c r="BUB207" s="33"/>
      <c r="BUL207" s="33"/>
      <c r="BUV207" s="33"/>
      <c r="BVF207" s="33"/>
      <c r="BVP207" s="33"/>
      <c r="BVZ207" s="33"/>
      <c r="BWJ207" s="33"/>
      <c r="BWT207" s="33"/>
      <c r="BXD207" s="33"/>
      <c r="BXN207" s="33"/>
      <c r="BXX207" s="33"/>
      <c r="BYH207" s="33"/>
      <c r="BYR207" s="33"/>
      <c r="BZB207" s="33"/>
      <c r="BZL207" s="33"/>
      <c r="BZV207" s="33"/>
      <c r="CAF207" s="33"/>
      <c r="CAP207" s="33"/>
      <c r="CAZ207" s="33"/>
      <c r="CBJ207" s="33"/>
      <c r="CBT207" s="33"/>
      <c r="CCD207" s="33"/>
      <c r="CCN207" s="33"/>
      <c r="CCX207" s="33"/>
      <c r="CDH207" s="33"/>
      <c r="CDR207" s="33"/>
      <c r="CEB207" s="33"/>
      <c r="CEL207" s="33"/>
      <c r="CEV207" s="33"/>
      <c r="CFF207" s="33"/>
      <c r="CFP207" s="33"/>
      <c r="CFZ207" s="33"/>
      <c r="CGJ207" s="33"/>
      <c r="CGT207" s="33"/>
      <c r="CHD207" s="33"/>
      <c r="CHN207" s="33"/>
      <c r="CHX207" s="33"/>
      <c r="CIH207" s="33"/>
      <c r="CIR207" s="33"/>
      <c r="CJB207" s="33"/>
      <c r="CJL207" s="33"/>
      <c r="CJV207" s="33"/>
      <c r="CKF207" s="33"/>
      <c r="CKP207" s="33"/>
      <c r="CKZ207" s="33"/>
      <c r="CLJ207" s="33"/>
      <c r="CLT207" s="33"/>
      <c r="CMD207" s="33"/>
      <c r="CMN207" s="33"/>
      <c r="CMX207" s="33"/>
      <c r="CNH207" s="33"/>
      <c r="CNR207" s="33"/>
      <c r="COB207" s="33"/>
      <c r="COL207" s="33"/>
      <c r="COV207" s="33"/>
      <c r="CPF207" s="33"/>
      <c r="CPP207" s="33"/>
      <c r="CPZ207" s="33"/>
      <c r="CQJ207" s="33"/>
      <c r="CQT207" s="33"/>
      <c r="CRD207" s="33"/>
      <c r="CRN207" s="33"/>
      <c r="CRX207" s="33"/>
      <c r="CSH207" s="33"/>
      <c r="CSR207" s="33"/>
      <c r="CTB207" s="33"/>
      <c r="CTL207" s="33"/>
      <c r="CTV207" s="33"/>
    </row>
    <row r="208" s="16" customFormat="1" customHeight="1" spans="1:1020 1030:2040 2050:2570">
      <c r="A208" s="57"/>
      <c r="B208" s="52"/>
      <c r="C208" s="52"/>
      <c r="D208" s="52"/>
      <c r="E208" s="52"/>
      <c r="F208" s="58" t="str">
        <f>IFERROR(VLOOKUP(E208,日报!E:G,2,0),"")</f>
        <v/>
      </c>
      <c r="G208" s="52"/>
      <c r="H208" s="53" t="str">
        <f>IFERROR(VLOOKUP(E208,基础数据!$E$4:$H$4,4,0),"")</f>
        <v/>
      </c>
      <c r="I208" s="53" t="str">
        <f>IFERROR(VLOOKUP(E208,基础数据!$E$4:$H$4,3,0),"")</f>
        <v/>
      </c>
      <c r="J208" s="52"/>
      <c r="K208" s="54" t="str">
        <f t="shared" si="3"/>
        <v/>
      </c>
      <c r="T208" s="33"/>
      <c r="AD208" s="33"/>
      <c r="AN208" s="33"/>
      <c r="AX208" s="33"/>
      <c r="BH208" s="33"/>
      <c r="BR208" s="33"/>
      <c r="CB208" s="33"/>
      <c r="CL208" s="33"/>
      <c r="CV208" s="33"/>
      <c r="DF208" s="33"/>
      <c r="DP208" s="33"/>
      <c r="DZ208" s="33"/>
      <c r="EJ208" s="33"/>
      <c r="ET208" s="33"/>
      <c r="FD208" s="33"/>
      <c r="FN208" s="33"/>
      <c r="FX208" s="33"/>
      <c r="GH208" s="33"/>
      <c r="GR208" s="33"/>
      <c r="HB208" s="33"/>
      <c r="HL208" s="33"/>
      <c r="HV208" s="33"/>
      <c r="IF208" s="33"/>
      <c r="IP208" s="33"/>
      <c r="IZ208" s="33"/>
      <c r="JJ208" s="33"/>
      <c r="JT208" s="33"/>
      <c r="KD208" s="33"/>
      <c r="KN208" s="33"/>
      <c r="KX208" s="33"/>
      <c r="LH208" s="33"/>
      <c r="LR208" s="33"/>
      <c r="MB208" s="33"/>
      <c r="ML208" s="33"/>
      <c r="MV208" s="33"/>
      <c r="NF208" s="33"/>
      <c r="NP208" s="33"/>
      <c r="NZ208" s="33"/>
      <c r="OJ208" s="33"/>
      <c r="OT208" s="33"/>
      <c r="PD208" s="33"/>
      <c r="PN208" s="33"/>
      <c r="PX208" s="33"/>
      <c r="QH208" s="33"/>
      <c r="QR208" s="33"/>
      <c r="RB208" s="33"/>
      <c r="RL208" s="33"/>
      <c r="RV208" s="33"/>
      <c r="SF208" s="33"/>
      <c r="SP208" s="33"/>
      <c r="SZ208" s="33"/>
      <c r="TJ208" s="33"/>
      <c r="TT208" s="33"/>
      <c r="UD208" s="33"/>
      <c r="UN208" s="33"/>
      <c r="UX208" s="33"/>
      <c r="VH208" s="33"/>
      <c r="VR208" s="33"/>
      <c r="WB208" s="33"/>
      <c r="WL208" s="33"/>
      <c r="WV208" s="33"/>
      <c r="XF208" s="33"/>
      <c r="XP208" s="33"/>
      <c r="XZ208" s="33"/>
      <c r="YJ208" s="33"/>
      <c r="YT208" s="33"/>
      <c r="ZD208" s="33"/>
      <c r="ZN208" s="33"/>
      <c r="ZX208" s="33"/>
      <c r="AAH208" s="33"/>
      <c r="AAR208" s="33"/>
      <c r="ABB208" s="33"/>
      <c r="ABL208" s="33"/>
      <c r="ABV208" s="33"/>
      <c r="ACF208" s="33"/>
      <c r="ACP208" s="33"/>
      <c r="ACZ208" s="33"/>
      <c r="ADJ208" s="33"/>
      <c r="ADT208" s="33"/>
      <c r="AED208" s="33"/>
      <c r="AEN208" s="33"/>
      <c r="AEX208" s="33"/>
      <c r="AFH208" s="33"/>
      <c r="AFR208" s="33"/>
      <c r="AGB208" s="33"/>
      <c r="AGL208" s="33"/>
      <c r="AGV208" s="33"/>
      <c r="AHF208" s="33"/>
      <c r="AHP208" s="33"/>
      <c r="AHZ208" s="33"/>
      <c r="AIJ208" s="33"/>
      <c r="AIT208" s="33"/>
      <c r="AJD208" s="33"/>
      <c r="AJN208" s="33"/>
      <c r="AJX208" s="33"/>
      <c r="AKH208" s="33"/>
      <c r="AKR208" s="33"/>
      <c r="ALB208" s="33"/>
      <c r="ALL208" s="33"/>
      <c r="ALV208" s="33"/>
      <c r="AMF208" s="33"/>
      <c r="AMP208" s="33"/>
      <c r="AMZ208" s="33"/>
      <c r="ANJ208" s="33"/>
      <c r="ANT208" s="33"/>
      <c r="AOD208" s="33"/>
      <c r="AON208" s="33"/>
      <c r="AOX208" s="33"/>
      <c r="APH208" s="33"/>
      <c r="APR208" s="33"/>
      <c r="AQB208" s="33"/>
      <c r="AQL208" s="33"/>
      <c r="AQV208" s="33"/>
      <c r="ARF208" s="33"/>
      <c r="ARP208" s="33"/>
      <c r="ARZ208" s="33"/>
      <c r="ASJ208" s="33"/>
      <c r="AST208" s="33"/>
      <c r="ATD208" s="33"/>
      <c r="ATN208" s="33"/>
      <c r="ATX208" s="33"/>
      <c r="AUH208" s="33"/>
      <c r="AUR208" s="33"/>
      <c r="AVB208" s="33"/>
      <c r="AVL208" s="33"/>
      <c r="AVV208" s="33"/>
      <c r="AWF208" s="33"/>
      <c r="AWP208" s="33"/>
      <c r="AWZ208" s="33"/>
      <c r="AXJ208" s="33"/>
      <c r="AXT208" s="33"/>
      <c r="AYD208" s="33"/>
      <c r="AYN208" s="33"/>
      <c r="AYX208" s="33"/>
      <c r="AZH208" s="33"/>
      <c r="AZR208" s="33"/>
      <c r="BAB208" s="33"/>
      <c r="BAL208" s="33"/>
      <c r="BAV208" s="33"/>
      <c r="BBF208" s="33"/>
      <c r="BBP208" s="33"/>
      <c r="BBZ208" s="33"/>
      <c r="BCJ208" s="33"/>
      <c r="BCT208" s="33"/>
      <c r="BDD208" s="33"/>
      <c r="BDN208" s="33"/>
      <c r="BDX208" s="33"/>
      <c r="BEH208" s="33"/>
      <c r="BER208" s="33"/>
      <c r="BFB208" s="33"/>
      <c r="BFL208" s="33"/>
      <c r="BFV208" s="33"/>
      <c r="BGF208" s="33"/>
      <c r="BGP208" s="33"/>
      <c r="BGZ208" s="33"/>
      <c r="BHJ208" s="33"/>
      <c r="BHT208" s="33"/>
      <c r="BID208" s="33"/>
      <c r="BIN208" s="33"/>
      <c r="BIX208" s="33"/>
      <c r="BJH208" s="33"/>
      <c r="BJR208" s="33"/>
      <c r="BKB208" s="33"/>
      <c r="BKL208" s="33"/>
      <c r="BKV208" s="33"/>
      <c r="BLF208" s="33"/>
      <c r="BLP208" s="33"/>
      <c r="BLZ208" s="33"/>
      <c r="BMJ208" s="33"/>
      <c r="BMT208" s="33"/>
      <c r="BND208" s="33"/>
      <c r="BNN208" s="33"/>
      <c r="BNX208" s="33"/>
      <c r="BOH208" s="33"/>
      <c r="BOR208" s="33"/>
      <c r="BPB208" s="33"/>
      <c r="BPL208" s="33"/>
      <c r="BPV208" s="33"/>
      <c r="BQF208" s="33"/>
      <c r="BQP208" s="33"/>
      <c r="BQZ208" s="33"/>
      <c r="BRJ208" s="33"/>
      <c r="BRT208" s="33"/>
      <c r="BSD208" s="33"/>
      <c r="BSN208" s="33"/>
      <c r="BSX208" s="33"/>
      <c r="BTH208" s="33"/>
      <c r="BTR208" s="33"/>
      <c r="BUB208" s="33"/>
      <c r="BUL208" s="33"/>
      <c r="BUV208" s="33"/>
      <c r="BVF208" s="33"/>
      <c r="BVP208" s="33"/>
      <c r="BVZ208" s="33"/>
      <c r="BWJ208" s="33"/>
      <c r="BWT208" s="33"/>
      <c r="BXD208" s="33"/>
      <c r="BXN208" s="33"/>
      <c r="BXX208" s="33"/>
      <c r="BYH208" s="33"/>
      <c r="BYR208" s="33"/>
      <c r="BZB208" s="33"/>
      <c r="BZL208" s="33"/>
      <c r="BZV208" s="33"/>
      <c r="CAF208" s="33"/>
      <c r="CAP208" s="33"/>
      <c r="CAZ208" s="33"/>
      <c r="CBJ208" s="33"/>
      <c r="CBT208" s="33"/>
      <c r="CCD208" s="33"/>
      <c r="CCN208" s="33"/>
      <c r="CCX208" s="33"/>
      <c r="CDH208" s="33"/>
      <c r="CDR208" s="33"/>
      <c r="CEB208" s="33"/>
      <c r="CEL208" s="33"/>
      <c r="CEV208" s="33"/>
      <c r="CFF208" s="33"/>
      <c r="CFP208" s="33"/>
      <c r="CFZ208" s="33"/>
      <c r="CGJ208" s="33"/>
      <c r="CGT208" s="33"/>
      <c r="CHD208" s="33"/>
      <c r="CHN208" s="33"/>
      <c r="CHX208" s="33"/>
      <c r="CIH208" s="33"/>
      <c r="CIR208" s="33"/>
      <c r="CJB208" s="33"/>
      <c r="CJL208" s="33"/>
      <c r="CJV208" s="33"/>
      <c r="CKF208" s="33"/>
      <c r="CKP208" s="33"/>
      <c r="CKZ208" s="33"/>
      <c r="CLJ208" s="33"/>
      <c r="CLT208" s="33"/>
      <c r="CMD208" s="33"/>
      <c r="CMN208" s="33"/>
      <c r="CMX208" s="33"/>
      <c r="CNH208" s="33"/>
      <c r="CNR208" s="33"/>
      <c r="COB208" s="33"/>
      <c r="COL208" s="33"/>
      <c r="COV208" s="33"/>
      <c r="CPF208" s="33"/>
      <c r="CPP208" s="33"/>
      <c r="CPZ208" s="33"/>
      <c r="CQJ208" s="33"/>
      <c r="CQT208" s="33"/>
      <c r="CRD208" s="33"/>
      <c r="CRN208" s="33"/>
      <c r="CRX208" s="33"/>
      <c r="CSH208" s="33"/>
      <c r="CSR208" s="33"/>
      <c r="CTB208" s="33"/>
      <c r="CTL208" s="33"/>
      <c r="CTV208" s="33"/>
    </row>
    <row r="209" s="16" customFormat="1" customHeight="1" spans="1:1020 1030:2040 2050:2570">
      <c r="A209" s="57"/>
      <c r="B209" s="52"/>
      <c r="C209" s="52"/>
      <c r="D209" s="52"/>
      <c r="E209" s="52"/>
      <c r="F209" s="58" t="str">
        <f>IFERROR(VLOOKUP(E209,日报!E:G,2,0),"")</f>
        <v/>
      </c>
      <c r="G209" s="52"/>
      <c r="H209" s="53" t="str">
        <f>IFERROR(VLOOKUP(E209,基础数据!$E$4:$H$4,4,0),"")</f>
        <v/>
      </c>
      <c r="I209" s="53" t="str">
        <f>IFERROR(VLOOKUP(E209,基础数据!$E$4:$H$4,3,0),"")</f>
        <v/>
      </c>
      <c r="J209" s="52"/>
      <c r="K209" s="54" t="str">
        <f t="shared" si="3"/>
        <v/>
      </c>
      <c r="T209" s="33"/>
      <c r="AD209" s="33"/>
      <c r="AN209" s="33"/>
      <c r="AX209" s="33"/>
      <c r="BH209" s="33"/>
      <c r="BR209" s="33"/>
      <c r="CB209" s="33"/>
      <c r="CL209" s="33"/>
      <c r="CV209" s="33"/>
      <c r="DF209" s="33"/>
      <c r="DP209" s="33"/>
      <c r="DZ209" s="33"/>
      <c r="EJ209" s="33"/>
      <c r="ET209" s="33"/>
      <c r="FD209" s="33"/>
      <c r="FN209" s="33"/>
      <c r="FX209" s="33"/>
      <c r="GH209" s="33"/>
      <c r="GR209" s="33"/>
      <c r="HB209" s="33"/>
      <c r="HL209" s="33"/>
      <c r="HV209" s="33"/>
      <c r="IF209" s="33"/>
      <c r="IP209" s="33"/>
      <c r="IZ209" s="33"/>
      <c r="JJ209" s="33"/>
      <c r="JT209" s="33"/>
      <c r="KD209" s="33"/>
      <c r="KN209" s="33"/>
      <c r="KX209" s="33"/>
      <c r="LH209" s="33"/>
      <c r="LR209" s="33"/>
      <c r="MB209" s="33"/>
      <c r="ML209" s="33"/>
      <c r="MV209" s="33"/>
      <c r="NF209" s="33"/>
      <c r="NP209" s="33"/>
      <c r="NZ209" s="33"/>
      <c r="OJ209" s="33"/>
      <c r="OT209" s="33"/>
      <c r="PD209" s="33"/>
      <c r="PN209" s="33"/>
      <c r="PX209" s="33"/>
      <c r="QH209" s="33"/>
      <c r="QR209" s="33"/>
      <c r="RB209" s="33"/>
      <c r="RL209" s="33"/>
      <c r="RV209" s="33"/>
      <c r="SF209" s="33"/>
      <c r="SP209" s="33"/>
      <c r="SZ209" s="33"/>
      <c r="TJ209" s="33"/>
      <c r="TT209" s="33"/>
      <c r="UD209" s="33"/>
      <c r="UN209" s="33"/>
      <c r="UX209" s="33"/>
      <c r="VH209" s="33"/>
      <c r="VR209" s="33"/>
      <c r="WB209" s="33"/>
      <c r="WL209" s="33"/>
      <c r="WV209" s="33"/>
      <c r="XF209" s="33"/>
      <c r="XP209" s="33"/>
      <c r="XZ209" s="33"/>
      <c r="YJ209" s="33"/>
      <c r="YT209" s="33"/>
      <c r="ZD209" s="33"/>
      <c r="ZN209" s="33"/>
      <c r="ZX209" s="33"/>
      <c r="AAH209" s="33"/>
      <c r="AAR209" s="33"/>
      <c r="ABB209" s="33"/>
      <c r="ABL209" s="33"/>
      <c r="ABV209" s="33"/>
      <c r="ACF209" s="33"/>
      <c r="ACP209" s="33"/>
      <c r="ACZ209" s="33"/>
      <c r="ADJ209" s="33"/>
      <c r="ADT209" s="33"/>
      <c r="AED209" s="33"/>
      <c r="AEN209" s="33"/>
      <c r="AEX209" s="33"/>
      <c r="AFH209" s="33"/>
      <c r="AFR209" s="33"/>
      <c r="AGB209" s="33"/>
      <c r="AGL209" s="33"/>
      <c r="AGV209" s="33"/>
      <c r="AHF209" s="33"/>
      <c r="AHP209" s="33"/>
      <c r="AHZ209" s="33"/>
      <c r="AIJ209" s="33"/>
      <c r="AIT209" s="33"/>
      <c r="AJD209" s="33"/>
      <c r="AJN209" s="33"/>
      <c r="AJX209" s="33"/>
      <c r="AKH209" s="33"/>
      <c r="AKR209" s="33"/>
      <c r="ALB209" s="33"/>
      <c r="ALL209" s="33"/>
      <c r="ALV209" s="33"/>
      <c r="AMF209" s="33"/>
      <c r="AMP209" s="33"/>
      <c r="AMZ209" s="33"/>
      <c r="ANJ209" s="33"/>
      <c r="ANT209" s="33"/>
      <c r="AOD209" s="33"/>
      <c r="AON209" s="33"/>
      <c r="AOX209" s="33"/>
      <c r="APH209" s="33"/>
      <c r="APR209" s="33"/>
      <c r="AQB209" s="33"/>
      <c r="AQL209" s="33"/>
      <c r="AQV209" s="33"/>
      <c r="ARF209" s="33"/>
      <c r="ARP209" s="33"/>
      <c r="ARZ209" s="33"/>
      <c r="ASJ209" s="33"/>
      <c r="AST209" s="33"/>
      <c r="ATD209" s="33"/>
      <c r="ATN209" s="33"/>
      <c r="ATX209" s="33"/>
      <c r="AUH209" s="33"/>
      <c r="AUR209" s="33"/>
      <c r="AVB209" s="33"/>
      <c r="AVL209" s="33"/>
      <c r="AVV209" s="33"/>
      <c r="AWF209" s="33"/>
      <c r="AWP209" s="33"/>
      <c r="AWZ209" s="33"/>
      <c r="AXJ209" s="33"/>
      <c r="AXT209" s="33"/>
      <c r="AYD209" s="33"/>
      <c r="AYN209" s="33"/>
      <c r="AYX209" s="33"/>
      <c r="AZH209" s="33"/>
      <c r="AZR209" s="33"/>
      <c r="BAB209" s="33"/>
      <c r="BAL209" s="33"/>
      <c r="BAV209" s="33"/>
      <c r="BBF209" s="33"/>
      <c r="BBP209" s="33"/>
      <c r="BBZ209" s="33"/>
      <c r="BCJ209" s="33"/>
      <c r="BCT209" s="33"/>
      <c r="BDD209" s="33"/>
      <c r="BDN209" s="33"/>
      <c r="BDX209" s="33"/>
      <c r="BEH209" s="33"/>
      <c r="BER209" s="33"/>
      <c r="BFB209" s="33"/>
      <c r="BFL209" s="33"/>
      <c r="BFV209" s="33"/>
      <c r="BGF209" s="33"/>
      <c r="BGP209" s="33"/>
      <c r="BGZ209" s="33"/>
      <c r="BHJ209" s="33"/>
      <c r="BHT209" s="33"/>
      <c r="BID209" s="33"/>
      <c r="BIN209" s="33"/>
      <c r="BIX209" s="33"/>
      <c r="BJH209" s="33"/>
      <c r="BJR209" s="33"/>
      <c r="BKB209" s="33"/>
      <c r="BKL209" s="33"/>
      <c r="BKV209" s="33"/>
      <c r="BLF209" s="33"/>
      <c r="BLP209" s="33"/>
      <c r="BLZ209" s="33"/>
      <c r="BMJ209" s="33"/>
      <c r="BMT209" s="33"/>
      <c r="BND209" s="33"/>
      <c r="BNN209" s="33"/>
      <c r="BNX209" s="33"/>
      <c r="BOH209" s="33"/>
      <c r="BOR209" s="33"/>
      <c r="BPB209" s="33"/>
      <c r="BPL209" s="33"/>
      <c r="BPV209" s="33"/>
      <c r="BQF209" s="33"/>
      <c r="BQP209" s="33"/>
      <c r="BQZ209" s="33"/>
      <c r="BRJ209" s="33"/>
      <c r="BRT209" s="33"/>
      <c r="BSD209" s="33"/>
      <c r="BSN209" s="33"/>
      <c r="BSX209" s="33"/>
      <c r="BTH209" s="33"/>
      <c r="BTR209" s="33"/>
      <c r="BUB209" s="33"/>
      <c r="BUL209" s="33"/>
      <c r="BUV209" s="33"/>
      <c r="BVF209" s="33"/>
      <c r="BVP209" s="33"/>
      <c r="BVZ209" s="33"/>
      <c r="BWJ209" s="33"/>
      <c r="BWT209" s="33"/>
      <c r="BXD209" s="33"/>
      <c r="BXN209" s="33"/>
      <c r="BXX209" s="33"/>
      <c r="BYH209" s="33"/>
      <c r="BYR209" s="33"/>
      <c r="BZB209" s="33"/>
      <c r="BZL209" s="33"/>
      <c r="BZV209" s="33"/>
      <c r="CAF209" s="33"/>
      <c r="CAP209" s="33"/>
      <c r="CAZ209" s="33"/>
      <c r="CBJ209" s="33"/>
      <c r="CBT209" s="33"/>
      <c r="CCD209" s="33"/>
      <c r="CCN209" s="33"/>
      <c r="CCX209" s="33"/>
      <c r="CDH209" s="33"/>
      <c r="CDR209" s="33"/>
      <c r="CEB209" s="33"/>
      <c r="CEL209" s="33"/>
      <c r="CEV209" s="33"/>
      <c r="CFF209" s="33"/>
      <c r="CFP209" s="33"/>
      <c r="CFZ209" s="33"/>
      <c r="CGJ209" s="33"/>
      <c r="CGT209" s="33"/>
      <c r="CHD209" s="33"/>
      <c r="CHN209" s="33"/>
      <c r="CHX209" s="33"/>
      <c r="CIH209" s="33"/>
      <c r="CIR209" s="33"/>
      <c r="CJB209" s="33"/>
      <c r="CJL209" s="33"/>
      <c r="CJV209" s="33"/>
      <c r="CKF209" s="33"/>
      <c r="CKP209" s="33"/>
      <c r="CKZ209" s="33"/>
      <c r="CLJ209" s="33"/>
      <c r="CLT209" s="33"/>
      <c r="CMD209" s="33"/>
      <c r="CMN209" s="33"/>
      <c r="CMX209" s="33"/>
      <c r="CNH209" s="33"/>
      <c r="CNR209" s="33"/>
      <c r="COB209" s="33"/>
      <c r="COL209" s="33"/>
      <c r="COV209" s="33"/>
      <c r="CPF209" s="33"/>
      <c r="CPP209" s="33"/>
      <c r="CPZ209" s="33"/>
      <c r="CQJ209" s="33"/>
      <c r="CQT209" s="33"/>
      <c r="CRD209" s="33"/>
      <c r="CRN209" s="33"/>
      <c r="CRX209" s="33"/>
      <c r="CSH209" s="33"/>
      <c r="CSR209" s="33"/>
      <c r="CTB209" s="33"/>
      <c r="CTL209" s="33"/>
      <c r="CTV209" s="33"/>
    </row>
    <row r="210" s="16" customFormat="1" customHeight="1" spans="1:1020 1030:2040 2050:2570">
      <c r="A210" s="57"/>
      <c r="B210" s="52"/>
      <c r="C210" s="52"/>
      <c r="D210" s="52"/>
      <c r="E210" s="52"/>
      <c r="F210" s="58" t="str">
        <f>IFERROR(VLOOKUP(E210,日报!E:G,2,0),"")</f>
        <v/>
      </c>
      <c r="G210" s="52"/>
      <c r="H210" s="53" t="str">
        <f>IFERROR(VLOOKUP(E210,基础数据!$E$4:$H$4,4,0),"")</f>
        <v/>
      </c>
      <c r="I210" s="53" t="str">
        <f>IFERROR(VLOOKUP(E210,基础数据!$E$4:$H$4,3,0),"")</f>
        <v/>
      </c>
      <c r="J210" s="52"/>
      <c r="K210" s="54" t="str">
        <f t="shared" si="3"/>
        <v/>
      </c>
      <c r="T210" s="33"/>
      <c r="AD210" s="33"/>
      <c r="AN210" s="33"/>
      <c r="AX210" s="33"/>
      <c r="BH210" s="33"/>
      <c r="BR210" s="33"/>
      <c r="CB210" s="33"/>
      <c r="CL210" s="33"/>
      <c r="CV210" s="33"/>
      <c r="DF210" s="33"/>
      <c r="DP210" s="33"/>
      <c r="DZ210" s="33"/>
      <c r="EJ210" s="33"/>
      <c r="ET210" s="33"/>
      <c r="FD210" s="33"/>
      <c r="FN210" s="33"/>
      <c r="FX210" s="33"/>
      <c r="GH210" s="33"/>
      <c r="GR210" s="33"/>
      <c r="HB210" s="33"/>
      <c r="HL210" s="33"/>
      <c r="HV210" s="33"/>
      <c r="IF210" s="33"/>
      <c r="IP210" s="33"/>
      <c r="IZ210" s="33"/>
      <c r="JJ210" s="33"/>
      <c r="JT210" s="33"/>
      <c r="KD210" s="33"/>
      <c r="KN210" s="33"/>
      <c r="KX210" s="33"/>
      <c r="LH210" s="33"/>
      <c r="LR210" s="33"/>
      <c r="MB210" s="33"/>
      <c r="ML210" s="33"/>
      <c r="MV210" s="33"/>
      <c r="NF210" s="33"/>
      <c r="NP210" s="33"/>
      <c r="NZ210" s="33"/>
      <c r="OJ210" s="33"/>
      <c r="OT210" s="33"/>
      <c r="PD210" s="33"/>
      <c r="PN210" s="33"/>
      <c r="PX210" s="33"/>
      <c r="QH210" s="33"/>
      <c r="QR210" s="33"/>
      <c r="RB210" s="33"/>
      <c r="RL210" s="33"/>
      <c r="RV210" s="33"/>
      <c r="SF210" s="33"/>
      <c r="SP210" s="33"/>
      <c r="SZ210" s="33"/>
      <c r="TJ210" s="33"/>
      <c r="TT210" s="33"/>
      <c r="UD210" s="33"/>
      <c r="UN210" s="33"/>
      <c r="UX210" s="33"/>
      <c r="VH210" s="33"/>
      <c r="VR210" s="33"/>
      <c r="WB210" s="33"/>
      <c r="WL210" s="33"/>
      <c r="WV210" s="33"/>
      <c r="XF210" s="33"/>
      <c r="XP210" s="33"/>
      <c r="XZ210" s="33"/>
      <c r="YJ210" s="33"/>
      <c r="YT210" s="33"/>
      <c r="ZD210" s="33"/>
      <c r="ZN210" s="33"/>
      <c r="ZX210" s="33"/>
      <c r="AAH210" s="33"/>
      <c r="AAR210" s="33"/>
      <c r="ABB210" s="33"/>
      <c r="ABL210" s="33"/>
      <c r="ABV210" s="33"/>
      <c r="ACF210" s="33"/>
      <c r="ACP210" s="33"/>
      <c r="ACZ210" s="33"/>
      <c r="ADJ210" s="33"/>
      <c r="ADT210" s="33"/>
      <c r="AED210" s="33"/>
      <c r="AEN210" s="33"/>
      <c r="AEX210" s="33"/>
      <c r="AFH210" s="33"/>
      <c r="AFR210" s="33"/>
      <c r="AGB210" s="33"/>
      <c r="AGL210" s="33"/>
      <c r="AGV210" s="33"/>
      <c r="AHF210" s="33"/>
      <c r="AHP210" s="33"/>
      <c r="AHZ210" s="33"/>
      <c r="AIJ210" s="33"/>
      <c r="AIT210" s="33"/>
      <c r="AJD210" s="33"/>
      <c r="AJN210" s="33"/>
      <c r="AJX210" s="33"/>
      <c r="AKH210" s="33"/>
      <c r="AKR210" s="33"/>
      <c r="ALB210" s="33"/>
      <c r="ALL210" s="33"/>
      <c r="ALV210" s="33"/>
      <c r="AMF210" s="33"/>
      <c r="AMP210" s="33"/>
      <c r="AMZ210" s="33"/>
      <c r="ANJ210" s="33"/>
      <c r="ANT210" s="33"/>
      <c r="AOD210" s="33"/>
      <c r="AON210" s="33"/>
      <c r="AOX210" s="33"/>
      <c r="APH210" s="33"/>
      <c r="APR210" s="33"/>
      <c r="AQB210" s="33"/>
      <c r="AQL210" s="33"/>
      <c r="AQV210" s="33"/>
      <c r="ARF210" s="33"/>
      <c r="ARP210" s="33"/>
      <c r="ARZ210" s="33"/>
      <c r="ASJ210" s="33"/>
      <c r="AST210" s="33"/>
      <c r="ATD210" s="33"/>
      <c r="ATN210" s="33"/>
      <c r="ATX210" s="33"/>
      <c r="AUH210" s="33"/>
      <c r="AUR210" s="33"/>
      <c r="AVB210" s="33"/>
      <c r="AVL210" s="33"/>
      <c r="AVV210" s="33"/>
      <c r="AWF210" s="33"/>
      <c r="AWP210" s="33"/>
      <c r="AWZ210" s="33"/>
      <c r="AXJ210" s="33"/>
      <c r="AXT210" s="33"/>
      <c r="AYD210" s="33"/>
      <c r="AYN210" s="33"/>
      <c r="AYX210" s="33"/>
      <c r="AZH210" s="33"/>
      <c r="AZR210" s="33"/>
      <c r="BAB210" s="33"/>
      <c r="BAL210" s="33"/>
      <c r="BAV210" s="33"/>
      <c r="BBF210" s="33"/>
      <c r="BBP210" s="33"/>
      <c r="BBZ210" s="33"/>
      <c r="BCJ210" s="33"/>
      <c r="BCT210" s="33"/>
      <c r="BDD210" s="33"/>
      <c r="BDN210" s="33"/>
      <c r="BDX210" s="33"/>
      <c r="BEH210" s="33"/>
      <c r="BER210" s="33"/>
      <c r="BFB210" s="33"/>
      <c r="BFL210" s="33"/>
      <c r="BFV210" s="33"/>
      <c r="BGF210" s="33"/>
      <c r="BGP210" s="33"/>
      <c r="BGZ210" s="33"/>
      <c r="BHJ210" s="33"/>
      <c r="BHT210" s="33"/>
      <c r="BID210" s="33"/>
      <c r="BIN210" s="33"/>
      <c r="BIX210" s="33"/>
      <c r="BJH210" s="33"/>
      <c r="BJR210" s="33"/>
      <c r="BKB210" s="33"/>
      <c r="BKL210" s="33"/>
      <c r="BKV210" s="33"/>
      <c r="BLF210" s="33"/>
      <c r="BLP210" s="33"/>
      <c r="BLZ210" s="33"/>
      <c r="BMJ210" s="33"/>
      <c r="BMT210" s="33"/>
      <c r="BND210" s="33"/>
      <c r="BNN210" s="33"/>
      <c r="BNX210" s="33"/>
      <c r="BOH210" s="33"/>
      <c r="BOR210" s="33"/>
      <c r="BPB210" s="33"/>
      <c r="BPL210" s="33"/>
      <c r="BPV210" s="33"/>
      <c r="BQF210" s="33"/>
      <c r="BQP210" s="33"/>
      <c r="BQZ210" s="33"/>
      <c r="BRJ210" s="33"/>
      <c r="BRT210" s="33"/>
      <c r="BSD210" s="33"/>
      <c r="BSN210" s="33"/>
      <c r="BSX210" s="33"/>
      <c r="BTH210" s="33"/>
      <c r="BTR210" s="33"/>
      <c r="BUB210" s="33"/>
      <c r="BUL210" s="33"/>
      <c r="BUV210" s="33"/>
      <c r="BVF210" s="33"/>
      <c r="BVP210" s="33"/>
      <c r="BVZ210" s="33"/>
      <c r="BWJ210" s="33"/>
      <c r="BWT210" s="33"/>
      <c r="BXD210" s="33"/>
      <c r="BXN210" s="33"/>
      <c r="BXX210" s="33"/>
      <c r="BYH210" s="33"/>
      <c r="BYR210" s="33"/>
      <c r="BZB210" s="33"/>
      <c r="BZL210" s="33"/>
      <c r="BZV210" s="33"/>
      <c r="CAF210" s="33"/>
      <c r="CAP210" s="33"/>
      <c r="CAZ210" s="33"/>
      <c r="CBJ210" s="33"/>
      <c r="CBT210" s="33"/>
      <c r="CCD210" s="33"/>
      <c r="CCN210" s="33"/>
      <c r="CCX210" s="33"/>
      <c r="CDH210" s="33"/>
      <c r="CDR210" s="33"/>
      <c r="CEB210" s="33"/>
      <c r="CEL210" s="33"/>
      <c r="CEV210" s="33"/>
      <c r="CFF210" s="33"/>
      <c r="CFP210" s="33"/>
      <c r="CFZ210" s="33"/>
      <c r="CGJ210" s="33"/>
      <c r="CGT210" s="33"/>
      <c r="CHD210" s="33"/>
      <c r="CHN210" s="33"/>
      <c r="CHX210" s="33"/>
      <c r="CIH210" s="33"/>
      <c r="CIR210" s="33"/>
      <c r="CJB210" s="33"/>
      <c r="CJL210" s="33"/>
      <c r="CJV210" s="33"/>
      <c r="CKF210" s="33"/>
      <c r="CKP210" s="33"/>
      <c r="CKZ210" s="33"/>
      <c r="CLJ210" s="33"/>
      <c r="CLT210" s="33"/>
      <c r="CMD210" s="33"/>
      <c r="CMN210" s="33"/>
      <c r="CMX210" s="33"/>
      <c r="CNH210" s="33"/>
      <c r="CNR210" s="33"/>
      <c r="COB210" s="33"/>
      <c r="COL210" s="33"/>
      <c r="COV210" s="33"/>
      <c r="CPF210" s="33"/>
      <c r="CPP210" s="33"/>
      <c r="CPZ210" s="33"/>
      <c r="CQJ210" s="33"/>
      <c r="CQT210" s="33"/>
      <c r="CRD210" s="33"/>
      <c r="CRN210" s="33"/>
      <c r="CRX210" s="33"/>
      <c r="CSH210" s="33"/>
      <c r="CSR210" s="33"/>
      <c r="CTB210" s="33"/>
      <c r="CTL210" s="33"/>
      <c r="CTV210" s="33"/>
    </row>
    <row r="211" s="16" customFormat="1" customHeight="1" spans="1:1020 1030:2040 2050:2570">
      <c r="A211" s="57"/>
      <c r="B211" s="52"/>
      <c r="C211" s="52"/>
      <c r="D211" s="52"/>
      <c r="E211" s="52"/>
      <c r="F211" s="58" t="str">
        <f>IFERROR(VLOOKUP(E211,日报!E:G,2,0),"")</f>
        <v/>
      </c>
      <c r="G211" s="52"/>
      <c r="H211" s="53" t="str">
        <f>IFERROR(VLOOKUP(E211,基础数据!$E$4:$H$4,4,0),"")</f>
        <v/>
      </c>
      <c r="I211" s="53" t="str">
        <f>IFERROR(VLOOKUP(E211,基础数据!$E$4:$H$4,3,0),"")</f>
        <v/>
      </c>
      <c r="J211" s="52"/>
      <c r="K211" s="54" t="str">
        <f t="shared" si="3"/>
        <v/>
      </c>
      <c r="T211" s="33"/>
      <c r="AD211" s="33"/>
      <c r="AN211" s="33"/>
      <c r="AX211" s="33"/>
      <c r="BH211" s="33"/>
      <c r="BR211" s="33"/>
      <c r="CB211" s="33"/>
      <c r="CL211" s="33"/>
      <c r="CV211" s="33"/>
      <c r="DF211" s="33"/>
      <c r="DP211" s="33"/>
      <c r="DZ211" s="33"/>
      <c r="EJ211" s="33"/>
      <c r="ET211" s="33"/>
      <c r="FD211" s="33"/>
      <c r="FN211" s="33"/>
      <c r="FX211" s="33"/>
      <c r="GH211" s="33"/>
      <c r="GR211" s="33"/>
      <c r="HB211" s="33"/>
      <c r="HL211" s="33"/>
      <c r="HV211" s="33"/>
      <c r="IF211" s="33"/>
      <c r="IP211" s="33"/>
      <c r="IZ211" s="33"/>
      <c r="JJ211" s="33"/>
      <c r="JT211" s="33"/>
      <c r="KD211" s="33"/>
      <c r="KN211" s="33"/>
      <c r="KX211" s="33"/>
      <c r="LH211" s="33"/>
      <c r="LR211" s="33"/>
      <c r="MB211" s="33"/>
      <c r="ML211" s="33"/>
      <c r="MV211" s="33"/>
      <c r="NF211" s="33"/>
      <c r="NP211" s="33"/>
      <c r="NZ211" s="33"/>
      <c r="OJ211" s="33"/>
      <c r="OT211" s="33"/>
      <c r="PD211" s="33"/>
      <c r="PN211" s="33"/>
      <c r="PX211" s="33"/>
      <c r="QH211" s="33"/>
      <c r="QR211" s="33"/>
      <c r="RB211" s="33"/>
      <c r="RL211" s="33"/>
      <c r="RV211" s="33"/>
      <c r="SF211" s="33"/>
      <c r="SP211" s="33"/>
      <c r="SZ211" s="33"/>
      <c r="TJ211" s="33"/>
      <c r="TT211" s="33"/>
      <c r="UD211" s="33"/>
      <c r="UN211" s="33"/>
      <c r="UX211" s="33"/>
      <c r="VH211" s="33"/>
      <c r="VR211" s="33"/>
      <c r="WB211" s="33"/>
      <c r="WL211" s="33"/>
      <c r="WV211" s="33"/>
      <c r="XF211" s="33"/>
      <c r="XP211" s="33"/>
      <c r="XZ211" s="33"/>
      <c r="YJ211" s="33"/>
      <c r="YT211" s="33"/>
      <c r="ZD211" s="33"/>
      <c r="ZN211" s="33"/>
      <c r="ZX211" s="33"/>
      <c r="AAH211" s="33"/>
      <c r="AAR211" s="33"/>
      <c r="ABB211" s="33"/>
      <c r="ABL211" s="33"/>
      <c r="ABV211" s="33"/>
      <c r="ACF211" s="33"/>
      <c r="ACP211" s="33"/>
      <c r="ACZ211" s="33"/>
      <c r="ADJ211" s="33"/>
      <c r="ADT211" s="33"/>
      <c r="AED211" s="33"/>
      <c r="AEN211" s="33"/>
      <c r="AEX211" s="33"/>
      <c r="AFH211" s="33"/>
      <c r="AFR211" s="33"/>
      <c r="AGB211" s="33"/>
      <c r="AGL211" s="33"/>
      <c r="AGV211" s="33"/>
      <c r="AHF211" s="33"/>
      <c r="AHP211" s="33"/>
      <c r="AHZ211" s="33"/>
      <c r="AIJ211" s="33"/>
      <c r="AIT211" s="33"/>
      <c r="AJD211" s="33"/>
      <c r="AJN211" s="33"/>
      <c r="AJX211" s="33"/>
      <c r="AKH211" s="33"/>
      <c r="AKR211" s="33"/>
      <c r="ALB211" s="33"/>
      <c r="ALL211" s="33"/>
      <c r="ALV211" s="33"/>
      <c r="AMF211" s="33"/>
      <c r="AMP211" s="33"/>
      <c r="AMZ211" s="33"/>
      <c r="ANJ211" s="33"/>
      <c r="ANT211" s="33"/>
      <c r="AOD211" s="33"/>
      <c r="AON211" s="33"/>
      <c r="AOX211" s="33"/>
      <c r="APH211" s="33"/>
      <c r="APR211" s="33"/>
      <c r="AQB211" s="33"/>
      <c r="AQL211" s="33"/>
      <c r="AQV211" s="33"/>
      <c r="ARF211" s="33"/>
      <c r="ARP211" s="33"/>
      <c r="ARZ211" s="33"/>
      <c r="ASJ211" s="33"/>
      <c r="AST211" s="33"/>
      <c r="ATD211" s="33"/>
      <c r="ATN211" s="33"/>
      <c r="ATX211" s="33"/>
      <c r="AUH211" s="33"/>
      <c r="AUR211" s="33"/>
      <c r="AVB211" s="33"/>
      <c r="AVL211" s="33"/>
      <c r="AVV211" s="33"/>
      <c r="AWF211" s="33"/>
      <c r="AWP211" s="33"/>
      <c r="AWZ211" s="33"/>
      <c r="AXJ211" s="33"/>
      <c r="AXT211" s="33"/>
      <c r="AYD211" s="33"/>
      <c r="AYN211" s="33"/>
      <c r="AYX211" s="33"/>
      <c r="AZH211" s="33"/>
      <c r="AZR211" s="33"/>
      <c r="BAB211" s="33"/>
      <c r="BAL211" s="33"/>
      <c r="BAV211" s="33"/>
      <c r="BBF211" s="33"/>
      <c r="BBP211" s="33"/>
      <c r="BBZ211" s="33"/>
      <c r="BCJ211" s="33"/>
      <c r="BCT211" s="33"/>
      <c r="BDD211" s="33"/>
      <c r="BDN211" s="33"/>
      <c r="BDX211" s="33"/>
      <c r="BEH211" s="33"/>
      <c r="BER211" s="33"/>
      <c r="BFB211" s="33"/>
      <c r="BFL211" s="33"/>
      <c r="BFV211" s="33"/>
      <c r="BGF211" s="33"/>
      <c r="BGP211" s="33"/>
      <c r="BGZ211" s="33"/>
      <c r="BHJ211" s="33"/>
      <c r="BHT211" s="33"/>
      <c r="BID211" s="33"/>
      <c r="BIN211" s="33"/>
      <c r="BIX211" s="33"/>
      <c r="BJH211" s="33"/>
      <c r="BJR211" s="33"/>
      <c r="BKB211" s="33"/>
      <c r="BKL211" s="33"/>
      <c r="BKV211" s="33"/>
      <c r="BLF211" s="33"/>
      <c r="BLP211" s="33"/>
      <c r="BLZ211" s="33"/>
      <c r="BMJ211" s="33"/>
      <c r="BMT211" s="33"/>
      <c r="BND211" s="33"/>
      <c r="BNN211" s="33"/>
      <c r="BNX211" s="33"/>
      <c r="BOH211" s="33"/>
      <c r="BOR211" s="33"/>
      <c r="BPB211" s="33"/>
      <c r="BPL211" s="33"/>
      <c r="BPV211" s="33"/>
      <c r="BQF211" s="33"/>
      <c r="BQP211" s="33"/>
      <c r="BQZ211" s="33"/>
      <c r="BRJ211" s="33"/>
      <c r="BRT211" s="33"/>
      <c r="BSD211" s="33"/>
      <c r="BSN211" s="33"/>
      <c r="BSX211" s="33"/>
      <c r="BTH211" s="33"/>
      <c r="BTR211" s="33"/>
      <c r="BUB211" s="33"/>
      <c r="BUL211" s="33"/>
      <c r="BUV211" s="33"/>
      <c r="BVF211" s="33"/>
      <c r="BVP211" s="33"/>
      <c r="BVZ211" s="33"/>
      <c r="BWJ211" s="33"/>
      <c r="BWT211" s="33"/>
      <c r="BXD211" s="33"/>
      <c r="BXN211" s="33"/>
      <c r="BXX211" s="33"/>
      <c r="BYH211" s="33"/>
      <c r="BYR211" s="33"/>
      <c r="BZB211" s="33"/>
      <c r="BZL211" s="33"/>
      <c r="BZV211" s="33"/>
      <c r="CAF211" s="33"/>
      <c r="CAP211" s="33"/>
      <c r="CAZ211" s="33"/>
      <c r="CBJ211" s="33"/>
      <c r="CBT211" s="33"/>
      <c r="CCD211" s="33"/>
      <c r="CCN211" s="33"/>
      <c r="CCX211" s="33"/>
      <c r="CDH211" s="33"/>
      <c r="CDR211" s="33"/>
      <c r="CEB211" s="33"/>
      <c r="CEL211" s="33"/>
      <c r="CEV211" s="33"/>
      <c r="CFF211" s="33"/>
      <c r="CFP211" s="33"/>
      <c r="CFZ211" s="33"/>
      <c r="CGJ211" s="33"/>
      <c r="CGT211" s="33"/>
      <c r="CHD211" s="33"/>
      <c r="CHN211" s="33"/>
      <c r="CHX211" s="33"/>
      <c r="CIH211" s="33"/>
      <c r="CIR211" s="33"/>
      <c r="CJB211" s="33"/>
      <c r="CJL211" s="33"/>
      <c r="CJV211" s="33"/>
      <c r="CKF211" s="33"/>
      <c r="CKP211" s="33"/>
      <c r="CKZ211" s="33"/>
      <c r="CLJ211" s="33"/>
      <c r="CLT211" s="33"/>
      <c r="CMD211" s="33"/>
      <c r="CMN211" s="33"/>
      <c r="CMX211" s="33"/>
      <c r="CNH211" s="33"/>
      <c r="CNR211" s="33"/>
      <c r="COB211" s="33"/>
      <c r="COL211" s="33"/>
      <c r="COV211" s="33"/>
      <c r="CPF211" s="33"/>
      <c r="CPP211" s="33"/>
      <c r="CPZ211" s="33"/>
      <c r="CQJ211" s="33"/>
      <c r="CQT211" s="33"/>
      <c r="CRD211" s="33"/>
      <c r="CRN211" s="33"/>
      <c r="CRX211" s="33"/>
      <c r="CSH211" s="33"/>
      <c r="CSR211" s="33"/>
      <c r="CTB211" s="33"/>
      <c r="CTL211" s="33"/>
      <c r="CTV211" s="33"/>
    </row>
    <row r="212" customHeight="1" spans="1:1020 1030:2040 2050:2570">
      <c r="A212" s="59"/>
      <c r="B212" s="26"/>
      <c r="C212" s="60"/>
      <c r="D212" s="60"/>
      <c r="E212" s="52"/>
      <c r="F212" s="58" t="str">
        <f>IFERROR(VLOOKUP(E212,日报!E:G,2,0),"")</f>
        <v/>
      </c>
      <c r="G212" s="52"/>
      <c r="H212" s="53" t="str">
        <f>IFERROR(VLOOKUP(E212,基础数据!$E$4:$H$4,4,0),"")</f>
        <v/>
      </c>
      <c r="I212" s="53" t="str">
        <f>IFERROR(VLOOKUP(E212,基础数据!$E$4:$H$4,3,0),"")</f>
        <v/>
      </c>
      <c r="J212" s="60"/>
      <c r="K212" s="54" t="str">
        <f t="shared" si="3"/>
        <v/>
      </c>
    </row>
    <row r="213" customHeight="1" spans="1:1020 1030:2040 2050:2570">
      <c r="A213" s="59"/>
      <c r="B213" s="26"/>
      <c r="C213" s="60"/>
      <c r="D213" s="60"/>
      <c r="E213" s="52"/>
      <c r="F213" s="58" t="str">
        <f>IFERROR(VLOOKUP(E213,日报!E:G,2,0),"")</f>
        <v/>
      </c>
      <c r="G213" s="52"/>
      <c r="H213" s="53" t="str">
        <f>IFERROR(VLOOKUP(E213,基础数据!$E$4:$H$4,4,0),"")</f>
        <v/>
      </c>
      <c r="I213" s="53" t="str">
        <f>IFERROR(VLOOKUP(E213,基础数据!$E$4:$H$4,3,0),"")</f>
        <v/>
      </c>
      <c r="J213" s="60"/>
      <c r="K213" s="54" t="str">
        <f t="shared" si="3"/>
        <v/>
      </c>
    </row>
    <row r="214" customHeight="1" spans="1:1020 1030:2040 2050:2570">
      <c r="A214" s="59"/>
      <c r="B214" s="26"/>
      <c r="C214" s="60"/>
      <c r="D214" s="60"/>
      <c r="E214" s="52"/>
      <c r="F214" s="58" t="str">
        <f>IFERROR(VLOOKUP(E214,日报!E:G,2,0),"")</f>
        <v/>
      </c>
      <c r="G214" s="52"/>
      <c r="H214" s="53" t="str">
        <f>IFERROR(VLOOKUP(E214,基础数据!$E$4:$H$4,4,0),"")</f>
        <v/>
      </c>
      <c r="I214" s="53" t="str">
        <f>IFERROR(VLOOKUP(E214,基础数据!$E$4:$H$4,3,0),"")</f>
        <v/>
      </c>
      <c r="J214" s="60"/>
      <c r="K214" s="54" t="str">
        <f t="shared" si="3"/>
        <v/>
      </c>
    </row>
    <row r="215" customHeight="1" spans="1:1020 1030:2040 2050:2570">
      <c r="A215" s="59"/>
      <c r="B215" s="26"/>
      <c r="C215" s="60"/>
      <c r="D215" s="60"/>
      <c r="E215" s="52"/>
      <c r="F215" s="58" t="str">
        <f>IFERROR(VLOOKUP(E215,日报!E:G,2,0),"")</f>
        <v/>
      </c>
      <c r="G215" s="52"/>
      <c r="H215" s="53" t="str">
        <f>IFERROR(VLOOKUP(E215,基础数据!$E$4:$H$4,4,0),"")</f>
        <v/>
      </c>
      <c r="I215" s="53" t="str">
        <f>IFERROR(VLOOKUP(E215,基础数据!$E$4:$H$4,3,0),"")</f>
        <v/>
      </c>
      <c r="J215" s="60"/>
      <c r="K215" s="54" t="str">
        <f t="shared" si="3"/>
        <v/>
      </c>
    </row>
    <row r="216" customHeight="1" spans="1:1020 1030:2040 2050:2570">
      <c r="A216" s="59"/>
      <c r="B216" s="26"/>
      <c r="C216" s="60"/>
      <c r="D216" s="60"/>
      <c r="E216" s="52"/>
      <c r="F216" s="58" t="str">
        <f>IFERROR(VLOOKUP(E216,日报!E:G,2,0),"")</f>
        <v/>
      </c>
      <c r="G216" s="52"/>
      <c r="H216" s="53" t="str">
        <f>IFERROR(VLOOKUP(E216,基础数据!$E$4:$H$4,4,0),"")</f>
        <v/>
      </c>
      <c r="I216" s="53" t="str">
        <f>IFERROR(VLOOKUP(E216,基础数据!$E$4:$H$4,3,0),"")</f>
        <v/>
      </c>
      <c r="J216" s="60"/>
      <c r="K216" s="54" t="str">
        <f t="shared" si="3"/>
        <v/>
      </c>
    </row>
    <row r="217" customHeight="1" spans="1:1020 1030:2040 2050:2570">
      <c r="A217" s="59"/>
      <c r="B217" s="26"/>
      <c r="C217" s="60"/>
      <c r="D217" s="60"/>
      <c r="E217" s="52"/>
      <c r="F217" s="58" t="str">
        <f>IFERROR(VLOOKUP(E217,日报!E:G,2,0),"")</f>
        <v/>
      </c>
      <c r="G217" s="52"/>
      <c r="H217" s="53" t="str">
        <f>IFERROR(VLOOKUP(E217,基础数据!$E$4:$H$4,4,0),"")</f>
        <v/>
      </c>
      <c r="I217" s="53" t="str">
        <f>IFERROR(VLOOKUP(E217,基础数据!$E$4:$H$4,3,0),"")</f>
        <v/>
      </c>
      <c r="J217" s="60"/>
      <c r="K217" s="54" t="str">
        <f t="shared" si="3"/>
        <v/>
      </c>
    </row>
    <row r="218" customHeight="1" spans="1:1020 1030:2040 2050:2570">
      <c r="A218" s="59"/>
      <c r="B218" s="26"/>
      <c r="C218" s="60"/>
      <c r="D218" s="60"/>
      <c r="E218" s="52"/>
      <c r="F218" s="58" t="str">
        <f>IFERROR(VLOOKUP(E218,日报!E:G,2,0),"")</f>
        <v/>
      </c>
      <c r="G218" s="52"/>
      <c r="H218" s="53" t="str">
        <f>IFERROR(VLOOKUP(E218,基础数据!$E$4:$H$4,4,0),"")</f>
        <v/>
      </c>
      <c r="I218" s="53" t="str">
        <f>IFERROR(VLOOKUP(E218,基础数据!$E$4:$H$4,3,0),"")</f>
        <v/>
      </c>
      <c r="J218" s="60"/>
      <c r="K218" s="54" t="str">
        <f t="shared" si="3"/>
        <v/>
      </c>
    </row>
    <row r="219" customHeight="1" spans="1:1020 1030:2040 2050:2570">
      <c r="A219" s="59"/>
      <c r="B219" s="26"/>
      <c r="C219" s="60"/>
      <c r="D219" s="60"/>
      <c r="E219" s="52"/>
      <c r="F219" s="58" t="str">
        <f>IFERROR(VLOOKUP(E219,日报!E:G,2,0),"")</f>
        <v/>
      </c>
      <c r="G219" s="52"/>
      <c r="H219" s="53" t="str">
        <f>IFERROR(VLOOKUP(E219,基础数据!$E$4:$H$4,4,0),"")</f>
        <v/>
      </c>
      <c r="I219" s="53" t="str">
        <f>IFERROR(VLOOKUP(E219,基础数据!$E$4:$H$4,3,0),"")</f>
        <v/>
      </c>
      <c r="J219" s="60"/>
      <c r="K219" s="54" t="str">
        <f t="shared" si="3"/>
        <v/>
      </c>
    </row>
    <row r="220" customHeight="1" spans="1:1020 1030:2040 2050:2570">
      <c r="A220" s="59"/>
      <c r="B220" s="26"/>
      <c r="C220" s="60"/>
      <c r="D220" s="60"/>
      <c r="E220" s="52"/>
      <c r="F220" s="58" t="str">
        <f>IFERROR(VLOOKUP(E220,日报!E:G,2,0),"")</f>
        <v/>
      </c>
      <c r="G220" s="52"/>
      <c r="H220" s="53" t="str">
        <f>IFERROR(VLOOKUP(E220,基础数据!$E$4:$H$4,4,0),"")</f>
        <v/>
      </c>
      <c r="I220" s="53" t="str">
        <f>IFERROR(VLOOKUP(E220,基础数据!$E$4:$H$4,3,0),"")</f>
        <v/>
      </c>
      <c r="J220" s="60"/>
      <c r="K220" s="54" t="str">
        <f t="shared" si="3"/>
        <v/>
      </c>
    </row>
    <row r="221" customHeight="1" spans="1:1020 1030:2040 2050:2570">
      <c r="A221" s="59"/>
      <c r="B221" s="26"/>
      <c r="C221" s="60"/>
      <c r="D221" s="60"/>
      <c r="E221" s="52"/>
      <c r="F221" s="58" t="str">
        <f>IFERROR(VLOOKUP(E221,日报!E:G,2,0),"")</f>
        <v/>
      </c>
      <c r="G221" s="52"/>
      <c r="H221" s="53" t="str">
        <f>IFERROR(VLOOKUP(E221,基础数据!$E$4:$H$4,4,0),"")</f>
        <v/>
      </c>
      <c r="I221" s="53" t="str">
        <f>IFERROR(VLOOKUP(E221,基础数据!$E$4:$H$4,3,0),"")</f>
        <v/>
      </c>
      <c r="J221" s="60"/>
      <c r="K221" s="54" t="str">
        <f t="shared" si="3"/>
        <v/>
      </c>
    </row>
    <row r="222" customHeight="1" spans="1:1020 1030:2040 2050:2570">
      <c r="A222" s="59"/>
      <c r="B222" s="26"/>
      <c r="C222" s="60"/>
      <c r="D222" s="60"/>
      <c r="E222" s="52"/>
      <c r="F222" s="58" t="str">
        <f>IFERROR(VLOOKUP(E222,日报!E:G,2,0),"")</f>
        <v/>
      </c>
      <c r="G222" s="52"/>
      <c r="H222" s="53" t="str">
        <f>IFERROR(VLOOKUP(E222,基础数据!$E$4:$H$4,4,0),"")</f>
        <v/>
      </c>
      <c r="I222" s="53" t="str">
        <f>IFERROR(VLOOKUP(E222,基础数据!$E$4:$H$4,3,0),"")</f>
        <v/>
      </c>
      <c r="J222" s="60"/>
      <c r="K222" s="54" t="str">
        <f t="shared" si="3"/>
        <v/>
      </c>
    </row>
    <row r="223" customHeight="1" spans="1:1020 1030:2040 2050:2570">
      <c r="A223" s="59"/>
      <c r="B223" s="26"/>
      <c r="C223" s="60"/>
      <c r="D223" s="60"/>
      <c r="E223" s="52"/>
      <c r="F223" s="58" t="str">
        <f>IFERROR(VLOOKUP(E223,日报!E:G,2,0),"")</f>
        <v/>
      </c>
      <c r="G223" s="52"/>
      <c r="H223" s="53" t="str">
        <f>IFERROR(VLOOKUP(E223,基础数据!$E$4:$H$4,4,0),"")</f>
        <v/>
      </c>
      <c r="I223" s="53" t="str">
        <f>IFERROR(VLOOKUP(E223,基础数据!$E$4:$H$4,3,0),"")</f>
        <v/>
      </c>
      <c r="J223" s="60"/>
      <c r="K223" s="54" t="str">
        <f t="shared" si="3"/>
        <v/>
      </c>
    </row>
    <row r="224" customHeight="1" spans="1:1020 1030:2040 2050:2570">
      <c r="A224" s="59"/>
      <c r="B224" s="26"/>
      <c r="C224" s="60"/>
      <c r="D224" s="60"/>
      <c r="E224" s="52"/>
      <c r="F224" s="58" t="str">
        <f>IFERROR(VLOOKUP(E224,日报!E:G,2,0),"")</f>
        <v/>
      </c>
      <c r="G224" s="52"/>
      <c r="H224" s="53" t="str">
        <f>IFERROR(VLOOKUP(E224,基础数据!$E$4:$H$4,4,0),"")</f>
        <v/>
      </c>
      <c r="I224" s="53" t="str">
        <f>IFERROR(VLOOKUP(E224,基础数据!$E$4:$H$4,3,0),"")</f>
        <v/>
      </c>
      <c r="J224" s="60"/>
      <c r="K224" s="54" t="str">
        <f t="shared" si="3"/>
        <v/>
      </c>
    </row>
    <row r="225" customHeight="1" spans="1:11">
      <c r="A225" s="59"/>
      <c r="B225" s="26"/>
      <c r="C225" s="60"/>
      <c r="D225" s="60"/>
      <c r="E225" s="52"/>
      <c r="F225" s="58" t="str">
        <f>IFERROR(VLOOKUP(E225,日报!E:G,2,0),"")</f>
        <v/>
      </c>
      <c r="G225" s="52"/>
      <c r="H225" s="53" t="str">
        <f>IFERROR(VLOOKUP(E225,基础数据!$E$4:$H$4,4,0),"")</f>
        <v/>
      </c>
      <c r="I225" s="53" t="str">
        <f>IFERROR(VLOOKUP(E225,基础数据!$E$4:$H$4,3,0),"")</f>
        <v/>
      </c>
      <c r="J225" s="60"/>
      <c r="K225" s="54" t="str">
        <f t="shared" si="3"/>
        <v/>
      </c>
    </row>
    <row r="226" customHeight="1" spans="1:11">
      <c r="A226" s="59"/>
      <c r="B226" s="26"/>
      <c r="C226" s="60"/>
      <c r="D226" s="60"/>
      <c r="E226" s="52"/>
      <c r="F226" s="58" t="str">
        <f>IFERROR(VLOOKUP(E226,日报!E:G,2,0),"")</f>
        <v/>
      </c>
      <c r="G226" s="52"/>
      <c r="H226" s="53" t="str">
        <f>IFERROR(VLOOKUP(E226,基础数据!$E$4:$H$4,4,0),"")</f>
        <v/>
      </c>
      <c r="I226" s="53" t="str">
        <f>IFERROR(VLOOKUP(E226,基础数据!$E$4:$H$4,3,0),"")</f>
        <v/>
      </c>
      <c r="J226" s="60"/>
      <c r="K226" s="54" t="str">
        <f t="shared" si="3"/>
        <v/>
      </c>
    </row>
    <row r="227" customHeight="1" spans="1:11">
      <c r="A227" s="59"/>
      <c r="B227" s="26"/>
      <c r="C227" s="60"/>
      <c r="D227" s="60"/>
      <c r="E227" s="52"/>
      <c r="F227" s="58" t="str">
        <f>IFERROR(VLOOKUP(E227,日报!E:G,2,0),"")</f>
        <v/>
      </c>
      <c r="G227" s="52"/>
      <c r="H227" s="53" t="str">
        <f>IFERROR(VLOOKUP(E227,基础数据!$E$4:$H$4,4,0),"")</f>
        <v/>
      </c>
      <c r="I227" s="53" t="str">
        <f>IFERROR(VLOOKUP(E227,基础数据!$E$4:$H$4,3,0),"")</f>
        <v/>
      </c>
      <c r="J227" s="60"/>
      <c r="K227" s="54" t="str">
        <f t="shared" si="3"/>
        <v/>
      </c>
    </row>
    <row r="228" customHeight="1" spans="1:11">
      <c r="A228" s="59"/>
      <c r="B228" s="26"/>
      <c r="C228" s="60"/>
      <c r="D228" s="60"/>
      <c r="E228" s="52"/>
      <c r="F228" s="58" t="str">
        <f>IFERROR(VLOOKUP(E228,日报!E:G,2,0),"")</f>
        <v/>
      </c>
      <c r="G228" s="52"/>
      <c r="H228" s="53" t="str">
        <f>IFERROR(VLOOKUP(E228,基础数据!$E$4:$H$4,4,0),"")</f>
        <v/>
      </c>
      <c r="I228" s="53" t="str">
        <f>IFERROR(VLOOKUP(E228,基础数据!$E$4:$H$4,3,0),"")</f>
        <v/>
      </c>
      <c r="J228" s="60"/>
      <c r="K228" s="54" t="str">
        <f t="shared" si="3"/>
        <v/>
      </c>
    </row>
    <row r="229" customHeight="1" spans="1:11">
      <c r="A229" s="59"/>
      <c r="B229" s="26"/>
      <c r="C229" s="60"/>
      <c r="D229" s="60"/>
      <c r="E229" s="52"/>
      <c r="F229" s="58" t="str">
        <f>IFERROR(VLOOKUP(E229,日报!E:G,2,0),"")</f>
        <v/>
      </c>
      <c r="G229" s="52"/>
      <c r="H229" s="53" t="str">
        <f>IFERROR(VLOOKUP(E229,基础数据!$E$4:$H$4,4,0),"")</f>
        <v/>
      </c>
      <c r="I229" s="53" t="str">
        <f>IFERROR(VLOOKUP(E229,基础数据!$E$4:$H$4,3,0),"")</f>
        <v/>
      </c>
      <c r="J229" s="60"/>
      <c r="K229" s="54" t="str">
        <f t="shared" si="3"/>
        <v/>
      </c>
    </row>
    <row r="230" customHeight="1" spans="1:11">
      <c r="A230" s="59"/>
      <c r="B230" s="26"/>
      <c r="C230" s="60"/>
      <c r="D230" s="60"/>
      <c r="E230" s="52"/>
      <c r="F230" s="58" t="str">
        <f>IFERROR(VLOOKUP(E230,日报!E:G,2,0),"")</f>
        <v/>
      </c>
      <c r="G230" s="52"/>
      <c r="H230" s="53" t="str">
        <f>IFERROR(VLOOKUP(E230,基础数据!$E$4:$H$4,4,0),"")</f>
        <v/>
      </c>
      <c r="I230" s="53" t="str">
        <f>IFERROR(VLOOKUP(E230,基础数据!$E$4:$H$4,3,0),"")</f>
        <v/>
      </c>
      <c r="J230" s="60"/>
      <c r="K230" s="54" t="str">
        <f t="shared" si="3"/>
        <v/>
      </c>
    </row>
    <row r="231" customHeight="1" spans="1:11">
      <c r="A231" s="59"/>
      <c r="B231" s="26"/>
      <c r="C231" s="60"/>
      <c r="D231" s="60"/>
      <c r="E231" s="52"/>
      <c r="F231" s="58" t="str">
        <f>IFERROR(VLOOKUP(E231,日报!E:G,2,0),"")</f>
        <v/>
      </c>
      <c r="G231" s="52"/>
      <c r="H231" s="53" t="str">
        <f>IFERROR(VLOOKUP(E231,基础数据!$E$4:$H$4,4,0),"")</f>
        <v/>
      </c>
      <c r="I231" s="53" t="str">
        <f>IFERROR(VLOOKUP(E231,基础数据!$E$4:$H$4,3,0),"")</f>
        <v/>
      </c>
      <c r="J231" s="60"/>
      <c r="K231" s="54" t="str">
        <f t="shared" si="3"/>
        <v/>
      </c>
    </row>
    <row r="232" customHeight="1" spans="1:11">
      <c r="A232" s="59"/>
      <c r="B232" s="26"/>
      <c r="C232" s="60"/>
      <c r="D232" s="60"/>
      <c r="E232" s="52"/>
      <c r="F232" s="58" t="str">
        <f>IFERROR(VLOOKUP(E232,日报!E:G,2,0),"")</f>
        <v/>
      </c>
      <c r="G232" s="52"/>
      <c r="H232" s="53" t="str">
        <f>IFERROR(VLOOKUP(E232,基础数据!$E$4:$H$4,4,0),"")</f>
        <v/>
      </c>
      <c r="I232" s="53" t="str">
        <f>IFERROR(VLOOKUP(E232,基础数据!$E$4:$H$4,3,0),"")</f>
        <v/>
      </c>
      <c r="J232" s="60"/>
      <c r="K232" s="54" t="str">
        <f t="shared" si="3"/>
        <v/>
      </c>
    </row>
    <row r="233" customHeight="1" spans="1:11">
      <c r="A233" s="59"/>
      <c r="B233" s="26"/>
      <c r="C233" s="60"/>
      <c r="D233" s="60"/>
      <c r="E233" s="52"/>
      <c r="F233" s="58" t="str">
        <f>IFERROR(VLOOKUP(E233,日报!E:G,2,0),"")</f>
        <v/>
      </c>
      <c r="G233" s="52"/>
      <c r="H233" s="53" t="str">
        <f>IFERROR(VLOOKUP(E233,基础数据!$E$4:$H$4,4,0),"")</f>
        <v/>
      </c>
      <c r="I233" s="53" t="str">
        <f>IFERROR(VLOOKUP(E233,基础数据!$E$4:$H$4,3,0),"")</f>
        <v/>
      </c>
      <c r="J233" s="60"/>
      <c r="K233" s="54" t="str">
        <f t="shared" si="3"/>
        <v/>
      </c>
    </row>
    <row r="234" customHeight="1" spans="1:11">
      <c r="A234" s="59"/>
      <c r="B234" s="26"/>
      <c r="C234" s="60"/>
      <c r="D234" s="60"/>
      <c r="E234" s="52"/>
      <c r="F234" s="58" t="str">
        <f>IFERROR(VLOOKUP(E234,日报!E:G,2,0),"")</f>
        <v/>
      </c>
      <c r="G234" s="52"/>
      <c r="H234" s="53" t="str">
        <f>IFERROR(VLOOKUP(E234,基础数据!$E$4:$H$4,4,0),"")</f>
        <v/>
      </c>
      <c r="I234" s="53" t="str">
        <f>IFERROR(VLOOKUP(E234,基础数据!$E$4:$H$4,3,0),"")</f>
        <v/>
      </c>
      <c r="J234" s="60"/>
      <c r="K234" s="54" t="str">
        <f t="shared" si="3"/>
        <v/>
      </c>
    </row>
    <row r="235" customHeight="1" spans="1:11">
      <c r="A235" s="59"/>
      <c r="B235" s="26"/>
      <c r="C235" s="60"/>
      <c r="D235" s="60"/>
      <c r="E235" s="52"/>
      <c r="F235" s="58" t="str">
        <f>IFERROR(VLOOKUP(E235,日报!E:G,2,0),"")</f>
        <v/>
      </c>
      <c r="G235" s="52"/>
      <c r="H235" s="53" t="str">
        <f>IFERROR(VLOOKUP(E235,基础数据!$E$4:$H$4,4,0),"")</f>
        <v/>
      </c>
      <c r="I235" s="53" t="str">
        <f>IFERROR(VLOOKUP(E235,基础数据!$E$4:$H$4,3,0),"")</f>
        <v/>
      </c>
      <c r="J235" s="60"/>
      <c r="K235" s="54" t="str">
        <f t="shared" si="3"/>
        <v/>
      </c>
    </row>
    <row r="236" customHeight="1" spans="1:11">
      <c r="A236" s="59"/>
      <c r="B236" s="26"/>
      <c r="C236" s="60"/>
      <c r="D236" s="60"/>
      <c r="E236" s="52"/>
      <c r="F236" s="58" t="str">
        <f>IFERROR(VLOOKUP(E236,日报!E:G,2,0),"")</f>
        <v/>
      </c>
      <c r="G236" s="52"/>
      <c r="H236" s="53" t="str">
        <f>IFERROR(VLOOKUP(E236,基础数据!$E$4:$H$4,4,0),"")</f>
        <v/>
      </c>
      <c r="I236" s="53" t="str">
        <f>IFERROR(VLOOKUP(E236,基础数据!$E$4:$H$4,3,0),"")</f>
        <v/>
      </c>
      <c r="J236" s="60"/>
      <c r="K236" s="54" t="str">
        <f t="shared" si="3"/>
        <v/>
      </c>
    </row>
    <row r="237" customHeight="1" spans="1:11">
      <c r="A237" s="59"/>
      <c r="B237" s="26"/>
      <c r="C237" s="60"/>
      <c r="D237" s="60"/>
      <c r="E237" s="52"/>
      <c r="F237" s="58" t="str">
        <f>IFERROR(VLOOKUP(E237,日报!E:G,2,0),"")</f>
        <v/>
      </c>
      <c r="G237" s="52"/>
      <c r="H237" s="53" t="str">
        <f>IFERROR(VLOOKUP(E237,基础数据!$E$4:$H$4,4,0),"")</f>
        <v/>
      </c>
      <c r="I237" s="53" t="str">
        <f>IFERROR(VLOOKUP(E237,基础数据!$E$4:$H$4,3,0),"")</f>
        <v/>
      </c>
      <c r="J237" s="60"/>
      <c r="K237" s="54" t="str">
        <f t="shared" si="3"/>
        <v/>
      </c>
    </row>
    <row r="238" customHeight="1" spans="1:11">
      <c r="A238" s="59"/>
      <c r="B238" s="26"/>
      <c r="C238" s="60"/>
      <c r="D238" s="60"/>
      <c r="E238" s="52"/>
      <c r="F238" s="58" t="str">
        <f>IFERROR(VLOOKUP(E238,日报!E:G,2,0),"")</f>
        <v/>
      </c>
      <c r="G238" s="52"/>
      <c r="H238" s="53" t="str">
        <f>IFERROR(VLOOKUP(E238,基础数据!$E$4:$H$4,4,0),"")</f>
        <v/>
      </c>
      <c r="I238" s="53" t="str">
        <f>IFERROR(VLOOKUP(E238,基础数据!$E$4:$H$4,3,0),"")</f>
        <v/>
      </c>
      <c r="J238" s="60"/>
      <c r="K238" s="54" t="str">
        <f t="shared" si="3"/>
        <v/>
      </c>
    </row>
    <row r="239" customHeight="1" spans="1:11">
      <c r="A239" s="59"/>
      <c r="B239" s="26"/>
      <c r="C239" s="60"/>
      <c r="D239" s="60"/>
      <c r="E239" s="52"/>
      <c r="F239" s="58" t="str">
        <f>IFERROR(VLOOKUP(E239,日报!E:G,2,0),"")</f>
        <v/>
      </c>
      <c r="G239" s="52"/>
      <c r="H239" s="53" t="str">
        <f>IFERROR(VLOOKUP(E239,基础数据!$E$4:$H$4,4,0),"")</f>
        <v/>
      </c>
      <c r="I239" s="53" t="str">
        <f>IFERROR(VLOOKUP(E239,基础数据!$E$4:$H$4,3,0),"")</f>
        <v/>
      </c>
      <c r="J239" s="60"/>
      <c r="K239" s="54" t="str">
        <f t="shared" si="3"/>
        <v/>
      </c>
    </row>
    <row r="240" customHeight="1" spans="1:11">
      <c r="A240" s="59"/>
      <c r="B240" s="26"/>
      <c r="C240" s="60"/>
      <c r="D240" s="60"/>
      <c r="E240" s="52"/>
      <c r="F240" s="58" t="str">
        <f>IFERROR(VLOOKUP(E240,日报!E:G,2,0),"")</f>
        <v/>
      </c>
      <c r="G240" s="52"/>
      <c r="H240" s="53" t="str">
        <f>IFERROR(VLOOKUP(E240,基础数据!$E$4:$H$4,4,0),"")</f>
        <v/>
      </c>
      <c r="I240" s="53" t="str">
        <f>IFERROR(VLOOKUP(E240,基础数据!$E$4:$H$4,3,0),"")</f>
        <v/>
      </c>
      <c r="J240" s="60"/>
      <c r="K240" s="54" t="str">
        <f t="shared" si="3"/>
        <v/>
      </c>
    </row>
    <row r="241" customHeight="1" spans="1:11">
      <c r="A241" s="59"/>
      <c r="B241" s="26"/>
      <c r="C241" s="60"/>
      <c r="D241" s="60"/>
      <c r="E241" s="52"/>
      <c r="F241" s="58" t="str">
        <f>IFERROR(VLOOKUP(E241,日报!E:G,2,0),"")</f>
        <v/>
      </c>
      <c r="G241" s="52"/>
      <c r="H241" s="53" t="str">
        <f>IFERROR(VLOOKUP(E241,基础数据!$E$4:$H$4,4,0),"")</f>
        <v/>
      </c>
      <c r="I241" s="53" t="str">
        <f>IFERROR(VLOOKUP(E241,基础数据!$E$4:$H$4,3,0),"")</f>
        <v/>
      </c>
      <c r="J241" s="60"/>
      <c r="K241" s="54" t="str">
        <f t="shared" si="3"/>
        <v/>
      </c>
    </row>
    <row r="242" customHeight="1" spans="1:11">
      <c r="A242" s="59"/>
      <c r="B242" s="26"/>
      <c r="C242" s="60"/>
      <c r="D242" s="60"/>
      <c r="E242" s="52"/>
      <c r="F242" s="58" t="str">
        <f>IFERROR(VLOOKUP(E242,日报!E:G,2,0),"")</f>
        <v/>
      </c>
      <c r="G242" s="52"/>
      <c r="H242" s="53" t="str">
        <f>IFERROR(VLOOKUP(E242,基础数据!$E$4:$H$4,4,0),"")</f>
        <v/>
      </c>
      <c r="I242" s="53" t="str">
        <f>IFERROR(VLOOKUP(E242,基础数据!$E$4:$H$4,3,0),"")</f>
        <v/>
      </c>
      <c r="J242" s="60"/>
      <c r="K242" s="54" t="str">
        <f t="shared" si="3"/>
        <v/>
      </c>
    </row>
    <row r="243" customHeight="1" spans="1:11">
      <c r="A243" s="59"/>
      <c r="B243" s="26"/>
      <c r="C243" s="60"/>
      <c r="D243" s="60"/>
      <c r="E243" s="52"/>
      <c r="F243" s="58" t="str">
        <f>IFERROR(VLOOKUP(E243,日报!E:G,2,0),"")</f>
        <v/>
      </c>
      <c r="G243" s="52"/>
      <c r="H243" s="53" t="str">
        <f>IFERROR(VLOOKUP(E243,基础数据!$E$4:$H$4,4,0),"")</f>
        <v/>
      </c>
      <c r="I243" s="53" t="str">
        <f>IFERROR(VLOOKUP(E243,基础数据!$E$4:$H$4,3,0),"")</f>
        <v/>
      </c>
      <c r="J243" s="60"/>
      <c r="K243" s="54" t="str">
        <f t="shared" si="3"/>
        <v/>
      </c>
    </row>
    <row r="244" customHeight="1" spans="1:11">
      <c r="A244" s="59"/>
      <c r="B244" s="26"/>
      <c r="C244" s="60"/>
      <c r="D244" s="60"/>
      <c r="E244" s="52"/>
      <c r="F244" s="58" t="str">
        <f>IFERROR(VLOOKUP(E244,日报!E:G,2,0),"")</f>
        <v/>
      </c>
      <c r="G244" s="52"/>
      <c r="H244" s="53" t="str">
        <f>IFERROR(VLOOKUP(E244,基础数据!$E$4:$H$4,4,0),"")</f>
        <v/>
      </c>
      <c r="I244" s="53" t="str">
        <f>IFERROR(VLOOKUP(E244,基础数据!$E$4:$H$4,3,0),"")</f>
        <v/>
      </c>
      <c r="J244" s="60"/>
      <c r="K244" s="54" t="str">
        <f t="shared" si="3"/>
        <v/>
      </c>
    </row>
    <row r="245" customHeight="1" spans="1:11">
      <c r="A245" s="59"/>
      <c r="B245" s="26"/>
      <c r="C245" s="60"/>
      <c r="D245" s="60"/>
      <c r="E245" s="52"/>
      <c r="F245" s="58" t="str">
        <f>IFERROR(VLOOKUP(E245,日报!E:G,2,0),"")</f>
        <v/>
      </c>
      <c r="G245" s="52"/>
      <c r="H245" s="53" t="str">
        <f>IFERROR(VLOOKUP(E245,基础数据!$E$4:$H$4,4,0),"")</f>
        <v/>
      </c>
      <c r="I245" s="53" t="str">
        <f>IFERROR(VLOOKUP(E245,基础数据!$E$4:$H$4,3,0),"")</f>
        <v/>
      </c>
      <c r="J245" s="60"/>
      <c r="K245" s="54" t="str">
        <f t="shared" si="3"/>
        <v/>
      </c>
    </row>
    <row r="246" customHeight="1" spans="1:11">
      <c r="A246" s="59"/>
      <c r="B246" s="26"/>
      <c r="C246" s="60"/>
      <c r="D246" s="60"/>
      <c r="E246" s="52"/>
      <c r="F246" s="58" t="str">
        <f>IFERROR(VLOOKUP(E246,日报!E:G,2,0),"")</f>
        <v/>
      </c>
      <c r="G246" s="52"/>
      <c r="H246" s="53" t="str">
        <f>IFERROR(VLOOKUP(E246,基础数据!$E$4:$H$4,4,0),"")</f>
        <v/>
      </c>
      <c r="I246" s="53" t="str">
        <f>IFERROR(VLOOKUP(E246,基础数据!$E$4:$H$4,3,0),"")</f>
        <v/>
      </c>
      <c r="J246" s="60"/>
      <c r="K246" s="54" t="str">
        <f t="shared" si="3"/>
        <v/>
      </c>
    </row>
    <row r="247" customHeight="1" spans="1:11">
      <c r="A247" s="59"/>
      <c r="B247" s="26"/>
      <c r="C247" s="60"/>
      <c r="D247" s="60"/>
      <c r="E247" s="52"/>
      <c r="F247" s="58" t="str">
        <f>IFERROR(VLOOKUP(E247,日报!E:G,2,0),"")</f>
        <v/>
      </c>
      <c r="G247" s="52"/>
      <c r="H247" s="53" t="str">
        <f>IFERROR(VLOOKUP(E247,基础数据!$E$4:$H$4,4,0),"")</f>
        <v/>
      </c>
      <c r="I247" s="53" t="str">
        <f>IFERROR(VLOOKUP(E247,基础数据!$E$4:$H$4,3,0),"")</f>
        <v/>
      </c>
      <c r="J247" s="60"/>
      <c r="K247" s="54" t="str">
        <f t="shared" si="3"/>
        <v/>
      </c>
    </row>
    <row r="248" customHeight="1" spans="1:11">
      <c r="A248" s="59"/>
      <c r="B248" s="26"/>
      <c r="C248" s="60"/>
      <c r="D248" s="60"/>
      <c r="E248" s="52"/>
      <c r="F248" s="58" t="str">
        <f>IFERROR(VLOOKUP(E248,日报!E:G,2,0),"")</f>
        <v/>
      </c>
      <c r="G248" s="52"/>
      <c r="H248" s="53" t="str">
        <f>IFERROR(VLOOKUP(E248,基础数据!$E$4:$H$4,4,0),"")</f>
        <v/>
      </c>
      <c r="I248" s="53" t="str">
        <f>IFERROR(VLOOKUP(E248,基础数据!$E$4:$H$4,3,0),"")</f>
        <v/>
      </c>
      <c r="J248" s="60"/>
      <c r="K248" s="54" t="str">
        <f t="shared" ref="K248:K291" si="4">IFERROR(G248/I248,"")</f>
        <v/>
      </c>
    </row>
    <row r="249" customHeight="1" spans="1:11">
      <c r="A249" s="59"/>
      <c r="B249" s="26"/>
      <c r="C249" s="60"/>
      <c r="D249" s="60"/>
      <c r="E249" s="52"/>
      <c r="F249" s="58" t="str">
        <f>IFERROR(VLOOKUP(E249,日报!E:G,2,0),"")</f>
        <v/>
      </c>
      <c r="G249" s="52"/>
      <c r="H249" s="53" t="str">
        <f>IFERROR(VLOOKUP(E249,基础数据!$E$4:$H$4,4,0),"")</f>
        <v/>
      </c>
      <c r="I249" s="53" t="str">
        <f>IFERROR(VLOOKUP(E249,基础数据!$E$4:$H$4,3,0),"")</f>
        <v/>
      </c>
      <c r="J249" s="60"/>
      <c r="K249" s="54" t="str">
        <f t="shared" si="4"/>
        <v/>
      </c>
    </row>
    <row r="250" customHeight="1" spans="1:11">
      <c r="A250" s="59"/>
      <c r="B250" s="26"/>
      <c r="C250" s="60"/>
      <c r="D250" s="60"/>
      <c r="E250" s="52"/>
      <c r="F250" s="58" t="str">
        <f>IFERROR(VLOOKUP(E250,日报!E:G,2,0),"")</f>
        <v/>
      </c>
      <c r="G250" s="52"/>
      <c r="H250" s="53" t="str">
        <f>IFERROR(VLOOKUP(E250,基础数据!$E$4:$H$4,4,0),"")</f>
        <v/>
      </c>
      <c r="I250" s="53" t="str">
        <f>IFERROR(VLOOKUP(E250,基础数据!$E$4:$H$4,3,0),"")</f>
        <v/>
      </c>
      <c r="J250" s="60"/>
      <c r="K250" s="54" t="str">
        <f t="shared" si="4"/>
        <v/>
      </c>
    </row>
    <row r="251" customHeight="1" spans="1:11">
      <c r="A251" s="59"/>
      <c r="B251" s="26"/>
      <c r="C251" s="60"/>
      <c r="D251" s="60"/>
      <c r="E251" s="52"/>
      <c r="F251" s="58" t="str">
        <f>IFERROR(VLOOKUP(E251,日报!E:G,2,0),"")</f>
        <v/>
      </c>
      <c r="G251" s="52"/>
      <c r="H251" s="53" t="str">
        <f>IFERROR(VLOOKUP(E251,基础数据!$E$4:$H$4,4,0),"")</f>
        <v/>
      </c>
      <c r="I251" s="53" t="str">
        <f>IFERROR(VLOOKUP(E251,基础数据!$E$4:$H$4,3,0),"")</f>
        <v/>
      </c>
      <c r="J251" s="60"/>
      <c r="K251" s="54" t="str">
        <f t="shared" si="4"/>
        <v/>
      </c>
    </row>
    <row r="252" customHeight="1" spans="1:11">
      <c r="A252" s="59"/>
      <c r="B252" s="26"/>
      <c r="C252" s="60"/>
      <c r="D252" s="60"/>
      <c r="E252" s="52"/>
      <c r="F252" s="58" t="str">
        <f>IFERROR(VLOOKUP(E252,日报!E:G,2,0),"")</f>
        <v/>
      </c>
      <c r="G252" s="52"/>
      <c r="H252" s="53" t="str">
        <f>IFERROR(VLOOKUP(E252,基础数据!$E$4:$H$4,4,0),"")</f>
        <v/>
      </c>
      <c r="I252" s="53" t="str">
        <f>IFERROR(VLOOKUP(E252,基础数据!$E$4:$H$4,3,0),"")</f>
        <v/>
      </c>
      <c r="J252" s="60"/>
      <c r="K252" s="54" t="str">
        <f t="shared" si="4"/>
        <v/>
      </c>
    </row>
    <row r="253" customHeight="1" spans="1:11">
      <c r="A253" s="59"/>
      <c r="B253" s="26"/>
      <c r="C253" s="60"/>
      <c r="D253" s="60"/>
      <c r="E253" s="52"/>
      <c r="F253" s="58" t="str">
        <f>IFERROR(VLOOKUP(E253,日报!E:G,2,0),"")</f>
        <v/>
      </c>
      <c r="G253" s="52"/>
      <c r="H253" s="53" t="str">
        <f>IFERROR(VLOOKUP(E253,基础数据!$E$4:$H$4,4,0),"")</f>
        <v/>
      </c>
      <c r="I253" s="53" t="str">
        <f>IFERROR(VLOOKUP(E253,基础数据!$E$4:$H$4,3,0),"")</f>
        <v/>
      </c>
      <c r="J253" s="60"/>
      <c r="K253" s="54" t="str">
        <f t="shared" si="4"/>
        <v/>
      </c>
    </row>
    <row r="254" customHeight="1" spans="1:11">
      <c r="A254" s="59"/>
      <c r="B254" s="26"/>
      <c r="C254" s="60"/>
      <c r="D254" s="60"/>
      <c r="E254" s="52"/>
      <c r="F254" s="58" t="str">
        <f>IFERROR(VLOOKUP(E254,日报!E:G,2,0),"")</f>
        <v/>
      </c>
      <c r="G254" s="52"/>
      <c r="H254" s="53" t="str">
        <f>IFERROR(VLOOKUP(E254,基础数据!$E$4:$H$4,4,0),"")</f>
        <v/>
      </c>
      <c r="I254" s="53" t="str">
        <f>IFERROR(VLOOKUP(E254,基础数据!$E$4:$H$4,3,0),"")</f>
        <v/>
      </c>
      <c r="J254" s="60"/>
      <c r="K254" s="54" t="str">
        <f t="shared" si="4"/>
        <v/>
      </c>
    </row>
    <row r="255" customHeight="1" spans="1:11">
      <c r="A255" s="59"/>
      <c r="B255" s="26"/>
      <c r="C255" s="60"/>
      <c r="D255" s="60"/>
      <c r="E255" s="52"/>
      <c r="F255" s="58" t="str">
        <f>IFERROR(VLOOKUP(E255,日报!E:G,2,0),"")</f>
        <v/>
      </c>
      <c r="G255" s="52"/>
      <c r="H255" s="53" t="str">
        <f>IFERROR(VLOOKUP(E255,基础数据!$E$4:$H$4,4,0),"")</f>
        <v/>
      </c>
      <c r="I255" s="53" t="str">
        <f>IFERROR(VLOOKUP(E255,基础数据!$E$4:$H$4,3,0),"")</f>
        <v/>
      </c>
      <c r="J255" s="60"/>
      <c r="K255" s="54" t="str">
        <f t="shared" si="4"/>
        <v/>
      </c>
    </row>
    <row r="256" customHeight="1" spans="1:11">
      <c r="A256" s="59"/>
      <c r="B256" s="26"/>
      <c r="C256" s="60"/>
      <c r="D256" s="60"/>
      <c r="E256" s="52"/>
      <c r="F256" s="58" t="str">
        <f>IFERROR(VLOOKUP(E256,日报!E:G,2,0),"")</f>
        <v/>
      </c>
      <c r="G256" s="52"/>
      <c r="H256" s="53" t="str">
        <f>IFERROR(VLOOKUP(E256,基础数据!$E$4:$H$4,4,0),"")</f>
        <v/>
      </c>
      <c r="I256" s="53" t="str">
        <f>IFERROR(VLOOKUP(E256,基础数据!$E$4:$H$4,3,0),"")</f>
        <v/>
      </c>
      <c r="J256" s="60"/>
      <c r="K256" s="54" t="str">
        <f t="shared" si="4"/>
        <v/>
      </c>
    </row>
    <row r="257" customHeight="1" spans="1:11">
      <c r="A257" s="59"/>
      <c r="B257" s="26"/>
      <c r="C257" s="60"/>
      <c r="D257" s="60"/>
      <c r="E257" s="52"/>
      <c r="F257" s="58" t="str">
        <f>IFERROR(VLOOKUP(E257,日报!E:G,2,0),"")</f>
        <v/>
      </c>
      <c r="G257" s="52"/>
      <c r="H257" s="53" t="str">
        <f>IFERROR(VLOOKUP(E257,基础数据!$E$4:$H$4,4,0),"")</f>
        <v/>
      </c>
      <c r="I257" s="53" t="str">
        <f>IFERROR(VLOOKUP(E257,基础数据!$E$4:$H$4,3,0),"")</f>
        <v/>
      </c>
      <c r="J257" s="60"/>
      <c r="K257" s="54" t="str">
        <f t="shared" si="4"/>
        <v/>
      </c>
    </row>
    <row r="258" customHeight="1" spans="1:11">
      <c r="A258" s="59"/>
      <c r="B258" s="26"/>
      <c r="C258" s="60"/>
      <c r="D258" s="60"/>
      <c r="E258" s="52"/>
      <c r="F258" s="58" t="str">
        <f>IFERROR(VLOOKUP(E258,日报!E:G,2,0),"")</f>
        <v/>
      </c>
      <c r="G258" s="52"/>
      <c r="H258" s="53" t="str">
        <f>IFERROR(VLOOKUP(E258,基础数据!$E$4:$H$4,4,0),"")</f>
        <v/>
      </c>
      <c r="I258" s="53" t="str">
        <f>IFERROR(VLOOKUP(E258,基础数据!$E$4:$H$4,3,0),"")</f>
        <v/>
      </c>
      <c r="J258" s="60"/>
      <c r="K258" s="54" t="str">
        <f t="shared" si="4"/>
        <v/>
      </c>
    </row>
    <row r="259" customHeight="1" spans="1:11">
      <c r="A259" s="59"/>
      <c r="B259" s="26"/>
      <c r="C259" s="60"/>
      <c r="D259" s="60"/>
      <c r="E259" s="52"/>
      <c r="F259" s="58" t="str">
        <f>IFERROR(VLOOKUP(E259,日报!E:G,2,0),"")</f>
        <v/>
      </c>
      <c r="G259" s="52"/>
      <c r="H259" s="53" t="str">
        <f>IFERROR(VLOOKUP(E259,基础数据!$E$4:$H$4,4,0),"")</f>
        <v/>
      </c>
      <c r="I259" s="53" t="str">
        <f>IFERROR(VLOOKUP(E259,基础数据!$E$4:$H$4,3,0),"")</f>
        <v/>
      </c>
      <c r="J259" s="60"/>
      <c r="K259" s="54" t="str">
        <f t="shared" si="4"/>
        <v/>
      </c>
    </row>
    <row r="260" customHeight="1" spans="1:11">
      <c r="A260" s="59"/>
      <c r="B260" s="26"/>
      <c r="C260" s="60"/>
      <c r="D260" s="60"/>
      <c r="E260" s="52"/>
      <c r="F260" s="58" t="str">
        <f>IFERROR(VLOOKUP(E260,日报!E:G,2,0),"")</f>
        <v/>
      </c>
      <c r="G260" s="52"/>
      <c r="H260" s="53" t="str">
        <f>IFERROR(VLOOKUP(E260,基础数据!$E$4:$H$4,4,0),"")</f>
        <v/>
      </c>
      <c r="I260" s="53" t="str">
        <f>IFERROR(VLOOKUP(E260,基础数据!$E$4:$H$4,3,0),"")</f>
        <v/>
      </c>
      <c r="J260" s="60"/>
      <c r="K260" s="54" t="str">
        <f t="shared" si="4"/>
        <v/>
      </c>
    </row>
    <row r="261" customHeight="1" spans="1:11">
      <c r="A261" s="59"/>
      <c r="B261" s="26"/>
      <c r="C261" s="60"/>
      <c r="D261" s="60"/>
      <c r="E261" s="52"/>
      <c r="F261" s="58" t="str">
        <f>IFERROR(VLOOKUP(E261,日报!E:G,2,0),"")</f>
        <v/>
      </c>
      <c r="G261" s="52"/>
      <c r="H261" s="53" t="str">
        <f>IFERROR(VLOOKUP(E261,基础数据!$E$4:$H$4,4,0),"")</f>
        <v/>
      </c>
      <c r="I261" s="53" t="str">
        <f>IFERROR(VLOOKUP(E261,基础数据!$E$4:$H$4,3,0),"")</f>
        <v/>
      </c>
      <c r="J261" s="60"/>
      <c r="K261" s="54" t="str">
        <f t="shared" si="4"/>
        <v/>
      </c>
    </row>
    <row r="262" customHeight="1" spans="1:11">
      <c r="A262" s="59"/>
      <c r="B262" s="26"/>
      <c r="C262" s="60"/>
      <c r="D262" s="60"/>
      <c r="E262" s="52"/>
      <c r="F262" s="58" t="str">
        <f>IFERROR(VLOOKUP(E262,日报!E:G,2,0),"")</f>
        <v/>
      </c>
      <c r="G262" s="52"/>
      <c r="H262" s="53" t="str">
        <f>IFERROR(VLOOKUP(E262,基础数据!$E$4:$H$4,4,0),"")</f>
        <v/>
      </c>
      <c r="I262" s="53" t="str">
        <f>IFERROR(VLOOKUP(E262,基础数据!$E$4:$H$4,3,0),"")</f>
        <v/>
      </c>
      <c r="J262" s="60"/>
      <c r="K262" s="54" t="str">
        <f t="shared" si="4"/>
        <v/>
      </c>
    </row>
    <row r="263" customHeight="1" spans="1:11">
      <c r="A263" s="59"/>
      <c r="B263" s="26"/>
      <c r="C263" s="60"/>
      <c r="D263" s="60"/>
      <c r="E263" s="52"/>
      <c r="F263" s="58" t="str">
        <f>IFERROR(VLOOKUP(E263,日报!E:G,2,0),"")</f>
        <v/>
      </c>
      <c r="G263" s="52"/>
      <c r="H263" s="53" t="str">
        <f>IFERROR(VLOOKUP(E263,基础数据!$E$4:$H$4,4,0),"")</f>
        <v/>
      </c>
      <c r="I263" s="53" t="str">
        <f>IFERROR(VLOOKUP(E263,基础数据!$E$4:$H$4,3,0),"")</f>
        <v/>
      </c>
      <c r="J263" s="60"/>
      <c r="K263" s="54" t="str">
        <f t="shared" si="4"/>
        <v/>
      </c>
    </row>
    <row r="264" customHeight="1" spans="1:11">
      <c r="A264" s="59"/>
      <c r="B264" s="26"/>
      <c r="C264" s="60"/>
      <c r="D264" s="60"/>
      <c r="E264" s="52"/>
      <c r="F264" s="58" t="str">
        <f>IFERROR(VLOOKUP(E264,日报!E:G,2,0),"")</f>
        <v/>
      </c>
      <c r="G264" s="52"/>
      <c r="H264" s="53" t="str">
        <f>IFERROR(VLOOKUP(E264,基础数据!$E$4:$H$4,4,0),"")</f>
        <v/>
      </c>
      <c r="I264" s="53" t="str">
        <f>IFERROR(VLOOKUP(E264,基础数据!$E$4:$H$4,3,0),"")</f>
        <v/>
      </c>
      <c r="J264" s="60"/>
      <c r="K264" s="54" t="str">
        <f t="shared" si="4"/>
        <v/>
      </c>
    </row>
    <row r="265" customHeight="1" spans="1:11">
      <c r="A265" s="59"/>
      <c r="B265" s="26"/>
      <c r="C265" s="60"/>
      <c r="D265" s="60"/>
      <c r="E265" s="52"/>
      <c r="F265" s="58" t="str">
        <f>IFERROR(VLOOKUP(E265,日报!E:G,2,0),"")</f>
        <v/>
      </c>
      <c r="G265" s="52"/>
      <c r="H265" s="53" t="str">
        <f>IFERROR(VLOOKUP(E265,基础数据!$E$4:$H$4,4,0),"")</f>
        <v/>
      </c>
      <c r="I265" s="53" t="str">
        <f>IFERROR(VLOOKUP(E265,基础数据!$E$4:$H$4,3,0),"")</f>
        <v/>
      </c>
      <c r="J265" s="60"/>
      <c r="K265" s="54" t="str">
        <f t="shared" si="4"/>
        <v/>
      </c>
    </row>
    <row r="266" customHeight="1" spans="1:11">
      <c r="A266" s="59"/>
      <c r="B266" s="26"/>
      <c r="C266" s="60"/>
      <c r="D266" s="60"/>
      <c r="E266" s="52"/>
      <c r="F266" s="58" t="str">
        <f>IFERROR(VLOOKUP(E266,日报!E:G,2,0),"")</f>
        <v/>
      </c>
      <c r="G266" s="52"/>
      <c r="H266" s="53" t="str">
        <f>IFERROR(VLOOKUP(E266,基础数据!$E$4:$H$4,4,0),"")</f>
        <v/>
      </c>
      <c r="I266" s="53" t="str">
        <f>IFERROR(VLOOKUP(E266,基础数据!$E$4:$H$4,3,0),"")</f>
        <v/>
      </c>
      <c r="J266" s="60"/>
      <c r="K266" s="54" t="str">
        <f t="shared" si="4"/>
        <v/>
      </c>
    </row>
    <row r="267" customHeight="1" spans="1:11">
      <c r="A267" s="59"/>
      <c r="B267" s="26"/>
      <c r="C267" s="60"/>
      <c r="D267" s="60"/>
      <c r="E267" s="52"/>
      <c r="F267" s="58" t="str">
        <f>IFERROR(VLOOKUP(E267,日报!E:G,2,0),"")</f>
        <v/>
      </c>
      <c r="G267" s="52"/>
      <c r="H267" s="53" t="str">
        <f>IFERROR(VLOOKUP(E267,基础数据!$E$4:$H$4,4,0),"")</f>
        <v/>
      </c>
      <c r="I267" s="53" t="str">
        <f>IFERROR(VLOOKUP(E267,基础数据!$E$4:$H$4,3,0),"")</f>
        <v/>
      </c>
      <c r="J267" s="60"/>
      <c r="K267" s="54" t="str">
        <f t="shared" si="4"/>
        <v/>
      </c>
    </row>
    <row r="268" customHeight="1" spans="1:11">
      <c r="A268" s="59"/>
      <c r="B268" s="26"/>
      <c r="C268" s="60"/>
      <c r="D268" s="60"/>
      <c r="E268" s="52"/>
      <c r="F268" s="58" t="str">
        <f>IFERROR(VLOOKUP(E268,日报!E:G,2,0),"")</f>
        <v/>
      </c>
      <c r="G268" s="52"/>
      <c r="H268" s="53" t="str">
        <f>IFERROR(VLOOKUP(E268,基础数据!$E$4:$H$4,4,0),"")</f>
        <v/>
      </c>
      <c r="I268" s="53" t="str">
        <f>IFERROR(VLOOKUP(E268,基础数据!$E$4:$H$4,3,0),"")</f>
        <v/>
      </c>
      <c r="J268" s="60"/>
      <c r="K268" s="54" t="str">
        <f t="shared" si="4"/>
        <v/>
      </c>
    </row>
    <row r="269" customHeight="1" spans="1:11">
      <c r="A269" s="59"/>
      <c r="B269" s="26"/>
      <c r="C269" s="60"/>
      <c r="D269" s="60"/>
      <c r="E269" s="52"/>
      <c r="F269" s="58" t="str">
        <f>IFERROR(VLOOKUP(E269,日报!E:G,2,0),"")</f>
        <v/>
      </c>
      <c r="G269" s="52"/>
      <c r="H269" s="53" t="str">
        <f>IFERROR(VLOOKUP(E269,基础数据!$E$4:$H$4,4,0),"")</f>
        <v/>
      </c>
      <c r="I269" s="53" t="str">
        <f>IFERROR(VLOOKUP(E269,基础数据!$E$4:$H$4,3,0),"")</f>
        <v/>
      </c>
      <c r="J269" s="60"/>
      <c r="K269" s="54" t="str">
        <f t="shared" si="4"/>
        <v/>
      </c>
    </row>
    <row r="270" customHeight="1" spans="1:11">
      <c r="A270" s="59"/>
      <c r="B270" s="26"/>
      <c r="C270" s="60"/>
      <c r="D270" s="60"/>
      <c r="E270" s="52"/>
      <c r="F270" s="58" t="str">
        <f>IFERROR(VLOOKUP(E270,日报!E:G,2,0),"")</f>
        <v/>
      </c>
      <c r="G270" s="52"/>
      <c r="H270" s="53" t="str">
        <f>IFERROR(VLOOKUP(E270,基础数据!$E$4:$H$4,4,0),"")</f>
        <v/>
      </c>
      <c r="I270" s="53" t="str">
        <f>IFERROR(VLOOKUP(E270,基础数据!$E$4:$H$4,3,0),"")</f>
        <v/>
      </c>
      <c r="J270" s="60"/>
      <c r="K270" s="54" t="str">
        <f t="shared" si="4"/>
        <v/>
      </c>
    </row>
    <row r="271" customHeight="1" spans="1:11">
      <c r="A271" s="59"/>
      <c r="B271" s="26"/>
      <c r="C271" s="60"/>
      <c r="D271" s="60"/>
      <c r="E271" s="52"/>
      <c r="F271" s="58" t="str">
        <f>IFERROR(VLOOKUP(E271,日报!E:G,2,0),"")</f>
        <v/>
      </c>
      <c r="G271" s="52"/>
      <c r="H271" s="53" t="str">
        <f>IFERROR(VLOOKUP(E271,基础数据!$E$4:$H$4,4,0),"")</f>
        <v/>
      </c>
      <c r="I271" s="53" t="str">
        <f>IFERROR(VLOOKUP(E271,基础数据!$E$4:$H$4,3,0),"")</f>
        <v/>
      </c>
      <c r="J271" s="60"/>
      <c r="K271" s="54" t="str">
        <f t="shared" si="4"/>
        <v/>
      </c>
    </row>
    <row r="272" customHeight="1" spans="1:11">
      <c r="A272" s="59"/>
      <c r="B272" s="26"/>
      <c r="C272" s="60"/>
      <c r="D272" s="60"/>
      <c r="E272" s="52"/>
      <c r="F272" s="58" t="str">
        <f>IFERROR(VLOOKUP(E272,日报!E:G,2,0),"")</f>
        <v/>
      </c>
      <c r="G272" s="52"/>
      <c r="H272" s="53" t="str">
        <f>IFERROR(VLOOKUP(E272,基础数据!$E$4:$H$4,4,0),"")</f>
        <v/>
      </c>
      <c r="I272" s="53" t="str">
        <f>IFERROR(VLOOKUP(E272,基础数据!$E$4:$H$4,3,0),"")</f>
        <v/>
      </c>
      <c r="J272" s="60"/>
      <c r="K272" s="54" t="str">
        <f t="shared" si="4"/>
        <v/>
      </c>
    </row>
    <row r="273" customHeight="1" spans="1:11">
      <c r="A273" s="59"/>
      <c r="B273" s="26"/>
      <c r="C273" s="60"/>
      <c r="D273" s="60"/>
      <c r="E273" s="52"/>
      <c r="F273" s="58" t="str">
        <f>IFERROR(VLOOKUP(E273,日报!E:G,2,0),"")</f>
        <v/>
      </c>
      <c r="G273" s="52"/>
      <c r="H273" s="53" t="str">
        <f>IFERROR(VLOOKUP(E273,基础数据!$E$4:$H$4,4,0),"")</f>
        <v/>
      </c>
      <c r="I273" s="53" t="str">
        <f>IFERROR(VLOOKUP(E273,基础数据!$E$4:$H$4,3,0),"")</f>
        <v/>
      </c>
      <c r="J273" s="60"/>
      <c r="K273" s="54" t="str">
        <f t="shared" si="4"/>
        <v/>
      </c>
    </row>
    <row r="274" customHeight="1" spans="1:11">
      <c r="A274" s="59"/>
      <c r="B274" s="26"/>
      <c r="C274" s="60"/>
      <c r="D274" s="60"/>
      <c r="E274" s="52"/>
      <c r="F274" s="58" t="str">
        <f>IFERROR(VLOOKUP(E274,日报!E:G,2,0),"")</f>
        <v/>
      </c>
      <c r="G274" s="52"/>
      <c r="H274" s="53" t="str">
        <f>IFERROR(VLOOKUP(E274,基础数据!$E$4:$H$4,4,0),"")</f>
        <v/>
      </c>
      <c r="I274" s="53" t="str">
        <f>IFERROR(VLOOKUP(E274,基础数据!$E$4:$H$4,3,0),"")</f>
        <v/>
      </c>
      <c r="J274" s="60"/>
      <c r="K274" s="54" t="str">
        <f t="shared" si="4"/>
        <v/>
      </c>
    </row>
    <row r="275" customHeight="1" spans="1:11">
      <c r="A275" s="59"/>
      <c r="B275" s="26"/>
      <c r="C275" s="60"/>
      <c r="D275" s="60"/>
      <c r="E275" s="52"/>
      <c r="F275" s="58" t="str">
        <f>IFERROR(VLOOKUP(E275,日报!E:G,2,0),"")</f>
        <v/>
      </c>
      <c r="G275" s="52"/>
      <c r="H275" s="53" t="str">
        <f>IFERROR(VLOOKUP(E275,基础数据!$E$4:$H$4,4,0),"")</f>
        <v/>
      </c>
      <c r="I275" s="53" t="str">
        <f>IFERROR(VLOOKUP(E275,基础数据!$E$4:$H$4,3,0),"")</f>
        <v/>
      </c>
      <c r="J275" s="60"/>
      <c r="K275" s="54" t="str">
        <f t="shared" si="4"/>
        <v/>
      </c>
    </row>
    <row r="276" customHeight="1" spans="1:11">
      <c r="A276" s="59"/>
      <c r="B276" s="26"/>
      <c r="C276" s="60"/>
      <c r="D276" s="60"/>
      <c r="E276" s="52"/>
      <c r="F276" s="58" t="str">
        <f>IFERROR(VLOOKUP(E276,日报!E:G,2,0),"")</f>
        <v/>
      </c>
      <c r="G276" s="52"/>
      <c r="H276" s="53" t="str">
        <f>IFERROR(VLOOKUP(E276,基础数据!$E$4:$H$4,4,0),"")</f>
        <v/>
      </c>
      <c r="I276" s="53" t="str">
        <f>IFERROR(VLOOKUP(E276,基础数据!$E$4:$H$4,3,0),"")</f>
        <v/>
      </c>
      <c r="J276" s="60"/>
      <c r="K276" s="54" t="str">
        <f t="shared" si="4"/>
        <v/>
      </c>
    </row>
    <row r="277" customHeight="1" spans="1:11">
      <c r="A277" s="59"/>
      <c r="B277" s="26"/>
      <c r="C277" s="60"/>
      <c r="D277" s="60"/>
      <c r="E277" s="52"/>
      <c r="F277" s="58" t="str">
        <f>IFERROR(VLOOKUP(E277,日报!E:G,2,0),"")</f>
        <v/>
      </c>
      <c r="G277" s="52"/>
      <c r="H277" s="53" t="str">
        <f>IFERROR(VLOOKUP(E277,基础数据!$E$4:$H$4,4,0),"")</f>
        <v/>
      </c>
      <c r="I277" s="53" t="str">
        <f>IFERROR(VLOOKUP(E277,基础数据!$E$4:$H$4,3,0),"")</f>
        <v/>
      </c>
      <c r="J277" s="60"/>
      <c r="K277" s="54" t="str">
        <f t="shared" si="4"/>
        <v/>
      </c>
    </row>
    <row r="278" customHeight="1" spans="1:11">
      <c r="A278" s="59"/>
      <c r="B278" s="26"/>
      <c r="C278" s="60"/>
      <c r="D278" s="60"/>
      <c r="E278" s="52"/>
      <c r="F278" s="58" t="str">
        <f>IFERROR(VLOOKUP(E278,日报!E:G,2,0),"")</f>
        <v/>
      </c>
      <c r="G278" s="52"/>
      <c r="H278" s="53" t="str">
        <f>IFERROR(VLOOKUP(E278,基础数据!$E$4:$H$4,4,0),"")</f>
        <v/>
      </c>
      <c r="I278" s="53" t="str">
        <f>IFERROR(VLOOKUP(E278,基础数据!$E$4:$H$4,3,0),"")</f>
        <v/>
      </c>
      <c r="J278" s="60"/>
      <c r="K278" s="54" t="str">
        <f t="shared" si="4"/>
        <v/>
      </c>
    </row>
    <row r="279" customHeight="1" spans="1:11">
      <c r="A279" s="59"/>
      <c r="B279" s="26"/>
      <c r="C279" s="60"/>
      <c r="D279" s="60"/>
      <c r="E279" s="52"/>
      <c r="F279" s="58" t="str">
        <f>IFERROR(VLOOKUP(E279,日报!E:G,2,0),"")</f>
        <v/>
      </c>
      <c r="G279" s="52"/>
      <c r="H279" s="53" t="str">
        <f>IFERROR(VLOOKUP(E279,基础数据!$E$4:$H$4,4,0),"")</f>
        <v/>
      </c>
      <c r="I279" s="53" t="str">
        <f>IFERROR(VLOOKUP(E279,基础数据!$E$4:$H$4,3,0),"")</f>
        <v/>
      </c>
      <c r="J279" s="60"/>
      <c r="K279" s="54" t="str">
        <f t="shared" si="4"/>
        <v/>
      </c>
    </row>
    <row r="280" customHeight="1" spans="1:11">
      <c r="A280" s="59"/>
      <c r="B280" s="26"/>
      <c r="C280" s="60"/>
      <c r="D280" s="60"/>
      <c r="E280" s="52"/>
      <c r="F280" s="58" t="str">
        <f>IFERROR(VLOOKUP(E280,日报!E:G,2,0),"")</f>
        <v/>
      </c>
      <c r="G280" s="52"/>
      <c r="H280" s="53" t="str">
        <f>IFERROR(VLOOKUP(E280,基础数据!$E$4:$H$4,4,0),"")</f>
        <v/>
      </c>
      <c r="I280" s="53" t="str">
        <f>IFERROR(VLOOKUP(E280,基础数据!$E$4:$H$4,3,0),"")</f>
        <v/>
      </c>
      <c r="J280" s="60"/>
      <c r="K280" s="54" t="str">
        <f t="shared" si="4"/>
        <v/>
      </c>
    </row>
    <row r="281" customHeight="1" spans="1:11">
      <c r="A281" s="59"/>
      <c r="B281" s="26"/>
      <c r="C281" s="60"/>
      <c r="D281" s="60"/>
      <c r="E281" s="52"/>
      <c r="F281" s="58" t="str">
        <f>IFERROR(VLOOKUP(E281,日报!E:G,2,0),"")</f>
        <v/>
      </c>
      <c r="G281" s="52"/>
      <c r="H281" s="53" t="str">
        <f>IFERROR(VLOOKUP(E281,基础数据!$E$4:$H$4,4,0),"")</f>
        <v/>
      </c>
      <c r="I281" s="53" t="str">
        <f>IFERROR(VLOOKUP(E281,基础数据!$E$4:$H$4,3,0),"")</f>
        <v/>
      </c>
      <c r="J281" s="60"/>
      <c r="K281" s="54" t="str">
        <f t="shared" si="4"/>
        <v/>
      </c>
    </row>
    <row r="282" customHeight="1" spans="1:11">
      <c r="A282" s="59"/>
      <c r="B282" s="26"/>
      <c r="C282" s="60"/>
      <c r="D282" s="60"/>
      <c r="E282" s="52"/>
      <c r="F282" s="58" t="str">
        <f>IFERROR(VLOOKUP(E282,日报!E:G,2,0),"")</f>
        <v/>
      </c>
      <c r="G282" s="52"/>
      <c r="H282" s="53" t="str">
        <f>IFERROR(VLOOKUP(E282,基础数据!$E$4:$H$4,4,0),"")</f>
        <v/>
      </c>
      <c r="I282" s="53" t="str">
        <f>IFERROR(VLOOKUP(E282,基础数据!$E$4:$H$4,3,0),"")</f>
        <v/>
      </c>
      <c r="J282" s="60"/>
      <c r="K282" s="54" t="str">
        <f t="shared" si="4"/>
        <v/>
      </c>
    </row>
    <row r="283" customHeight="1" spans="1:11">
      <c r="A283" s="59"/>
      <c r="B283" s="26"/>
      <c r="C283" s="60"/>
      <c r="D283" s="60"/>
      <c r="E283" s="52"/>
      <c r="F283" s="58" t="str">
        <f>IFERROR(VLOOKUP(E283,日报!E:G,2,0),"")</f>
        <v/>
      </c>
      <c r="G283" s="52"/>
      <c r="H283" s="53" t="str">
        <f>IFERROR(VLOOKUP(E283,基础数据!$E$4:$H$4,4,0),"")</f>
        <v/>
      </c>
      <c r="I283" s="53" t="str">
        <f>IFERROR(VLOOKUP(E283,基础数据!$E$4:$H$4,3,0),"")</f>
        <v/>
      </c>
      <c r="J283" s="60"/>
      <c r="K283" s="54" t="str">
        <f t="shared" si="4"/>
        <v/>
      </c>
    </row>
    <row r="284" customHeight="1" spans="1:11">
      <c r="A284" s="59"/>
      <c r="B284" s="26"/>
      <c r="C284" s="60"/>
      <c r="D284" s="60"/>
      <c r="E284" s="52"/>
      <c r="F284" s="58" t="str">
        <f>IFERROR(VLOOKUP(E284,日报!E:G,2,0),"")</f>
        <v/>
      </c>
      <c r="G284" s="52"/>
      <c r="H284" s="53" t="str">
        <f>IFERROR(VLOOKUP(E284,基础数据!$E$4:$H$4,4,0),"")</f>
        <v/>
      </c>
      <c r="I284" s="53" t="str">
        <f>IFERROR(VLOOKUP(E284,基础数据!$E$4:$H$4,3,0),"")</f>
        <v/>
      </c>
      <c r="J284" s="60"/>
      <c r="K284" s="54" t="str">
        <f t="shared" si="4"/>
        <v/>
      </c>
    </row>
    <row r="285" customHeight="1" spans="1:11">
      <c r="A285" s="59"/>
      <c r="B285" s="26"/>
      <c r="C285" s="60"/>
      <c r="D285" s="60"/>
      <c r="E285" s="52"/>
      <c r="F285" s="58" t="str">
        <f>IFERROR(VLOOKUP(E285,日报!E:G,2,0),"")</f>
        <v/>
      </c>
      <c r="G285" s="52"/>
      <c r="H285" s="53" t="str">
        <f>IFERROR(VLOOKUP(E285,基础数据!$E$4:$H$4,4,0),"")</f>
        <v/>
      </c>
      <c r="I285" s="53" t="str">
        <f>IFERROR(VLOOKUP(E285,基础数据!$E$4:$H$4,3,0),"")</f>
        <v/>
      </c>
      <c r="J285" s="60"/>
      <c r="K285" s="54" t="str">
        <f t="shared" si="4"/>
        <v/>
      </c>
    </row>
    <row r="286" customHeight="1" spans="1:11">
      <c r="A286" s="59"/>
      <c r="B286" s="26"/>
      <c r="C286" s="60"/>
      <c r="D286" s="60"/>
      <c r="E286" s="52"/>
      <c r="F286" s="58" t="str">
        <f>IFERROR(VLOOKUP(E286,日报!E:G,2,0),"")</f>
        <v/>
      </c>
      <c r="G286" s="52"/>
      <c r="H286" s="53" t="str">
        <f>IFERROR(VLOOKUP(E286,基础数据!$E$4:$H$4,4,0),"")</f>
        <v/>
      </c>
      <c r="I286" s="53" t="str">
        <f>IFERROR(VLOOKUP(E286,基础数据!$E$4:$H$4,3,0),"")</f>
        <v/>
      </c>
      <c r="J286" s="60"/>
      <c r="K286" s="54" t="str">
        <f t="shared" si="4"/>
        <v/>
      </c>
    </row>
    <row r="287" customHeight="1" spans="1:11">
      <c r="A287" s="59"/>
      <c r="B287" s="26"/>
      <c r="C287" s="60"/>
      <c r="D287" s="60"/>
      <c r="E287" s="52"/>
      <c r="F287" s="58" t="str">
        <f>IFERROR(VLOOKUP(E287,日报!E:G,2,0),"")</f>
        <v/>
      </c>
      <c r="G287" s="52"/>
      <c r="H287" s="53" t="str">
        <f>IFERROR(VLOOKUP(E287,基础数据!$E$4:$H$4,4,0),"")</f>
        <v/>
      </c>
      <c r="I287" s="53" t="str">
        <f>IFERROR(VLOOKUP(E287,基础数据!$E$4:$H$4,3,0),"")</f>
        <v/>
      </c>
      <c r="J287" s="60"/>
      <c r="K287" s="54" t="str">
        <f t="shared" si="4"/>
        <v/>
      </c>
    </row>
    <row r="288" customHeight="1" spans="1:11">
      <c r="A288" s="59"/>
      <c r="B288" s="26"/>
      <c r="C288" s="60"/>
      <c r="D288" s="60"/>
      <c r="E288" s="52"/>
      <c r="F288" s="58" t="str">
        <f>IFERROR(VLOOKUP(E288,日报!E:G,2,0),"")</f>
        <v/>
      </c>
      <c r="G288" s="52"/>
      <c r="H288" s="53" t="str">
        <f>IFERROR(VLOOKUP(E288,基础数据!$E$4:$H$4,4,0),"")</f>
        <v/>
      </c>
      <c r="I288" s="53" t="str">
        <f>IFERROR(VLOOKUP(E288,基础数据!$E$4:$H$4,3,0),"")</f>
        <v/>
      </c>
      <c r="J288" s="60"/>
      <c r="K288" s="54" t="str">
        <f t="shared" si="4"/>
        <v/>
      </c>
    </row>
    <row r="289" customHeight="1" spans="1:11">
      <c r="A289" s="59"/>
      <c r="B289" s="26"/>
      <c r="C289" s="60"/>
      <c r="D289" s="60"/>
      <c r="E289" s="52"/>
      <c r="F289" s="58" t="str">
        <f>IFERROR(VLOOKUP(E289,日报!E:G,2,0),"")</f>
        <v/>
      </c>
      <c r="G289" s="52"/>
      <c r="H289" s="53" t="str">
        <f>IFERROR(VLOOKUP(E289,基础数据!$E$4:$H$4,4,0),"")</f>
        <v/>
      </c>
      <c r="I289" s="53" t="str">
        <f>IFERROR(VLOOKUP(E289,基础数据!$E$4:$H$4,3,0),"")</f>
        <v/>
      </c>
      <c r="J289" s="60"/>
      <c r="K289" s="54" t="str">
        <f t="shared" si="4"/>
        <v/>
      </c>
    </row>
    <row r="290" customHeight="1" spans="1:11">
      <c r="A290" s="59"/>
      <c r="B290" s="26"/>
      <c r="C290" s="60"/>
      <c r="D290" s="60"/>
      <c r="E290" s="52"/>
      <c r="F290" s="58" t="str">
        <f>IFERROR(VLOOKUP(E290,日报!E:G,2,0),"")</f>
        <v/>
      </c>
      <c r="G290" s="52"/>
      <c r="H290" s="53" t="str">
        <f>IFERROR(VLOOKUP(E290,基础数据!$E$4:$H$4,4,0),"")</f>
        <v/>
      </c>
      <c r="I290" s="53" t="str">
        <f>IFERROR(VLOOKUP(E290,基础数据!$E$4:$H$4,3,0),"")</f>
        <v/>
      </c>
      <c r="J290" s="60"/>
      <c r="K290" s="54" t="str">
        <f t="shared" si="4"/>
        <v/>
      </c>
    </row>
    <row r="291" customHeight="1" spans="1:11">
      <c r="A291" s="59"/>
      <c r="B291" s="26"/>
      <c r="C291" s="60"/>
      <c r="D291" s="60"/>
      <c r="E291" s="52"/>
      <c r="F291" s="58" t="str">
        <f>IFERROR(VLOOKUP(E291,日报!E:G,2,0),"")</f>
        <v/>
      </c>
      <c r="G291" s="52"/>
      <c r="H291" s="53" t="str">
        <f>IFERROR(VLOOKUP(E291,基础数据!$E$4:$H$4,4,0),"")</f>
        <v/>
      </c>
      <c r="I291" s="53" t="str">
        <f>IFERROR(VLOOKUP(E291,基础数据!$E$4:$H$4,3,0),"")</f>
        <v/>
      </c>
      <c r="J291" s="60"/>
      <c r="K291" s="54" t="str">
        <f t="shared" si="4"/>
        <v/>
      </c>
    </row>
  </sheetData>
  <autoFilter xmlns:etc="http://www.wps.cn/officeDocument/2017/etCustomData" ref="A1:XFC291" etc:filterBottomFollowUsedRange="0">
    <extLst/>
  </autoFilter>
  <sortState ref="A2:K11842">
    <sortCondition ref="A2:A11842"/>
    <sortCondition ref="D2:D11842"/>
  </sortState>
  <dataValidations count="1">
    <dataValidation type="list" allowBlank="1" showInputMessage="1" showErrorMessage="1" sqref="E34:E36 E39:E291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E14" sqref="E14"/>
    </sheetView>
  </sheetViews>
  <sheetFormatPr defaultColWidth="15" defaultRowHeight="15.6"/>
  <cols>
    <col min="1" max="1" width="11.7777777777778" style="17" customWidth="1"/>
    <col min="2" max="2" width="11" style="18" customWidth="1"/>
    <col min="3" max="3" width="36.5555555555556" style="17" customWidth="1"/>
    <col min="4" max="4" width="20" style="19" customWidth="1"/>
    <col min="5" max="5" width="44.5555555555556" style="20" customWidth="1"/>
    <col min="6" max="6" width="20.2222222222222" style="19" customWidth="1"/>
    <col min="7" max="7" width="10.7777777777778" style="19" customWidth="1"/>
    <col min="8" max="8" width="29.7777777777778" style="19" customWidth="1"/>
    <col min="9" max="9" width="23.8888888888889" style="21" customWidth="1"/>
    <col min="10" max="10" width="29.2222222222222" style="21" customWidth="1"/>
    <col min="11" max="16377" width="15" style="21" customWidth="1"/>
    <col min="16378" max="16384" width="15" style="21"/>
  </cols>
  <sheetData>
    <row r="1" s="14" customFormat="1" ht="14.4" spans="1:10">
      <c r="A1" s="22" t="s">
        <v>39</v>
      </c>
      <c r="B1" s="23" t="s">
        <v>24</v>
      </c>
      <c r="C1" s="22" t="s">
        <v>3</v>
      </c>
      <c r="D1" s="24" t="s">
        <v>40</v>
      </c>
      <c r="E1" s="24" t="s">
        <v>6</v>
      </c>
      <c r="F1" s="24" t="s">
        <v>41</v>
      </c>
      <c r="G1" s="24" t="s">
        <v>42</v>
      </c>
      <c r="H1" s="24" t="s">
        <v>31</v>
      </c>
      <c r="I1" s="25" t="s">
        <v>43</v>
      </c>
      <c r="J1" s="25" t="s">
        <v>44</v>
      </c>
    </row>
    <row r="2" ht="19.2" spans="1:10">
      <c r="A2" s="17">
        <v>46149</v>
      </c>
      <c r="B2" s="92" t="s">
        <v>32</v>
      </c>
      <c r="C2" s="8" t="s">
        <v>33</v>
      </c>
      <c r="D2" s="9" t="s">
        <v>34</v>
      </c>
      <c r="E2" s="34" t="str">
        <f>IFERROR(VLOOKUP(D2,基础数据!E:F,2,0),"")</f>
        <v>车载电源二合一</v>
      </c>
      <c r="F2" s="19">
        <f>18+45</f>
        <v>63</v>
      </c>
      <c r="G2" s="19" t="s">
        <v>35</v>
      </c>
      <c r="H2" s="19" t="s">
        <v>45</v>
      </c>
      <c r="I2" s="37"/>
      <c r="J2" s="38"/>
    </row>
    <row r="3" ht="19.2" spans="1:10">
      <c r="A3" s="17">
        <v>46149</v>
      </c>
      <c r="B3" s="92" t="s">
        <v>32</v>
      </c>
      <c r="C3" s="8" t="s">
        <v>33</v>
      </c>
      <c r="D3" s="9" t="s">
        <v>46</v>
      </c>
      <c r="E3" s="34" t="str">
        <f>IFERROR(VLOOKUP(D3,基础数据!E:F,2,0),"")</f>
        <v>800V车载二合一电源总成</v>
      </c>
      <c r="F3" s="19">
        <f>45+45</f>
        <v>90</v>
      </c>
      <c r="G3" s="19" t="s">
        <v>35</v>
      </c>
      <c r="H3" s="19" t="s">
        <v>45</v>
      </c>
      <c r="I3" s="37"/>
      <c r="J3" s="38"/>
    </row>
    <row r="4" ht="19.2" spans="1:10">
      <c r="A4" s="17">
        <v>46150</v>
      </c>
      <c r="B4" s="92" t="s">
        <v>32</v>
      </c>
      <c r="C4" s="8" t="s">
        <v>33</v>
      </c>
      <c r="D4" s="9" t="s">
        <v>46</v>
      </c>
      <c r="E4" s="34" t="str">
        <f>IFERROR(VLOOKUP(D4,基础数据!E:F,2,0),"")</f>
        <v>800V车载二合一电源总成</v>
      </c>
      <c r="F4" s="19">
        <v>85</v>
      </c>
      <c r="G4" s="19" t="s">
        <v>35</v>
      </c>
      <c r="H4" s="19" t="s">
        <v>45</v>
      </c>
    </row>
    <row r="5" ht="19.2" spans="1:10">
      <c r="A5" s="17">
        <v>46152</v>
      </c>
      <c r="B5" s="92" t="s">
        <v>32</v>
      </c>
      <c r="C5" s="8" t="s">
        <v>33</v>
      </c>
      <c r="D5" s="19" t="s">
        <v>46</v>
      </c>
      <c r="E5" s="34" t="str">
        <f>IFERROR(VLOOKUP(D5,基础数据!E:F,2,0),"")</f>
        <v>800V车载二合一电源总成</v>
      </c>
      <c r="F5" s="19">
        <v>7</v>
      </c>
      <c r="G5" s="19" t="s">
        <v>35</v>
      </c>
      <c r="H5" s="19" t="s">
        <v>45</v>
      </c>
    </row>
    <row r="6" spans="1:10">
      <c r="B6" s="35"/>
      <c r="E6" s="34" t="str">
        <f>IFERROR(VLOOKUP(D6,基础数据!E:F,2,0),"")</f>
        <v/>
      </c>
    </row>
    <row r="7" spans="1:10">
      <c r="B7" s="35"/>
      <c r="E7" s="34" t="str">
        <f>IFERROR(VLOOKUP(D7,基础数据!E:F,2,0),"")</f>
        <v/>
      </c>
    </row>
    <row r="8" spans="1:10">
      <c r="B8" s="35"/>
      <c r="E8" s="34" t="str">
        <f>IFERROR(VLOOKUP(D8,基础数据!E:F,2,0),"")</f>
        <v/>
      </c>
    </row>
    <row r="9" spans="1:10">
      <c r="B9" s="35"/>
      <c r="E9" s="34" t="str">
        <f>IFERROR(VLOOKUP(D9,基础数据!E:F,2,0),"")</f>
        <v/>
      </c>
    </row>
    <row r="10" spans="1:10">
      <c r="B10" s="35"/>
      <c r="E10" s="20" t="str">
        <f>IFERROR(VLOOKUP(D10,基础数据!E:F,2,0),"")</f>
        <v/>
      </c>
    </row>
    <row r="11" spans="1:10">
      <c r="B11" s="35"/>
      <c r="E11" s="20" t="str">
        <f>IFERROR(VLOOKUP(D11,基础数据!E:F,2,0),"")</f>
        <v/>
      </c>
    </row>
    <row r="12" spans="1:10">
      <c r="B12" s="35"/>
      <c r="E12" s="20" t="str">
        <f>IFERROR(VLOOKUP(D12,基础数据!E:F,2,0),"")</f>
        <v/>
      </c>
    </row>
    <row r="13" spans="1:10">
      <c r="B13" s="35"/>
      <c r="E13" s="20" t="str">
        <f>IFERROR(VLOOKUP(D13,基础数据!E:F,2,0),"")</f>
        <v/>
      </c>
    </row>
    <row r="14" spans="1:10">
      <c r="B14" s="35"/>
      <c r="E14" s="20" t="str">
        <f>IFERROR(VLOOKUP(D14,基础数据!E:F,2,0),"")</f>
        <v/>
      </c>
    </row>
    <row r="15" spans="1:10">
      <c r="B15" s="35"/>
      <c r="E15" s="20" t="str">
        <f>IFERROR(VLOOKUP(D15,基础数据!E:F,2,0),"")</f>
        <v/>
      </c>
    </row>
    <row r="16" spans="1:10">
      <c r="E16" s="20" t="str">
        <f>IFERROR(VLOOKUP(D16,基础数据!E:F,2,0),"")</f>
        <v/>
      </c>
    </row>
    <row r="17" spans="5:5">
      <c r="E17" s="20" t="str">
        <f>IFERROR(VLOOKUP(D17,基础数据!E:F,2,0),"")</f>
        <v/>
      </c>
    </row>
    <row r="18" spans="5:5">
      <c r="E18" s="20" t="str">
        <f>IFERROR(VLOOKUP(D18,基础数据!E:F,2,0),"")</f>
        <v/>
      </c>
    </row>
    <row r="19" spans="5:5">
      <c r="E19" s="20" t="str">
        <f>IFERROR(VLOOKUP(D19,基础数据!E:F,2,0),"")</f>
        <v/>
      </c>
    </row>
    <row r="20" spans="5:5">
      <c r="E20" s="20" t="str">
        <f>IFERROR(VLOOKUP(D20,基础数据!E:F,2,0),"")</f>
        <v/>
      </c>
    </row>
    <row r="21" spans="5:5">
      <c r="E21" s="20" t="str">
        <f>IFERROR(VLOOKUP(D21,基础数据!E:F,2,0),"")</f>
        <v/>
      </c>
    </row>
    <row r="22" spans="5:5">
      <c r="E22" s="20" t="str">
        <f>IFERROR(VLOOKUP(D22,基础数据!E:F,2,0),"")</f>
        <v/>
      </c>
    </row>
    <row r="23" spans="5:5">
      <c r="E23" s="20" t="str">
        <f>IFERROR(VLOOKUP(D23,基础数据!E:F,2,0),"")</f>
        <v/>
      </c>
    </row>
    <row r="24" spans="5:5">
      <c r="E24" s="20" t="str">
        <f>IFERROR(VLOOKUP(D24,基础数据!E:F,2,0),"")</f>
        <v/>
      </c>
    </row>
    <row r="25" spans="5:5">
      <c r="E25" s="20" t="str">
        <f>IFERROR(VLOOKUP(D25,基础数据!E:F,2,0),"")</f>
        <v/>
      </c>
    </row>
    <row r="26" spans="5:5">
      <c r="E26" s="20" t="str">
        <f>IFERROR(VLOOKUP(D26,基础数据!E:F,2,0),"")</f>
        <v/>
      </c>
    </row>
    <row r="27" spans="5:5">
      <c r="E27" s="20" t="str">
        <f>IFERROR(VLOOKUP(D27,基础数据!E:F,2,0),"")</f>
        <v/>
      </c>
    </row>
    <row r="28" spans="5:5">
      <c r="E28" s="20" t="str">
        <f>IFERROR(VLOOKUP(D28,基础数据!E:F,2,0),"")</f>
        <v/>
      </c>
    </row>
    <row r="29" spans="5:5">
      <c r="E29" s="20" t="str">
        <f>IFERROR(VLOOKUP(D29,基础数据!E:F,2,0),"")</f>
        <v/>
      </c>
    </row>
    <row r="30" spans="5:5">
      <c r="E30" s="20" t="str">
        <f>IFERROR(VLOOKUP(D30,基础数据!E:F,2,0),"")</f>
        <v/>
      </c>
    </row>
    <row r="31" spans="5:5">
      <c r="E31" s="20" t="str">
        <f>IFERROR(VLOOKUP(D31,基础数据!E:F,2,0),"")</f>
        <v/>
      </c>
    </row>
    <row r="32" spans="5:5">
      <c r="E32" s="20" t="str">
        <f>IFERROR(VLOOKUP(D32,基础数据!E:F,2,0),"")</f>
        <v/>
      </c>
    </row>
    <row r="33" spans="5:5">
      <c r="E33" s="20" t="str">
        <f>IFERROR(VLOOKUP(D33,基础数据!E:F,2,0),"")</f>
        <v/>
      </c>
    </row>
    <row r="34" spans="5:5">
      <c r="E34" s="20" t="str">
        <f>IFERROR(VLOOKUP(D34,基础数据!E:F,2,0),"")</f>
        <v/>
      </c>
    </row>
    <row r="35" spans="5:5">
      <c r="E35" s="20" t="str">
        <f>IFERROR(VLOOKUP(D35,基础数据!E:F,2,0),"")</f>
        <v/>
      </c>
    </row>
    <row r="36" spans="5:5">
      <c r="E36" s="20" t="str">
        <f>IFERROR(VLOOKUP(D36,基础数据!E:F,2,0),"")</f>
        <v/>
      </c>
    </row>
    <row r="37" spans="5:5">
      <c r="E37" s="20" t="str">
        <f>IFERROR(VLOOKUP(D37,基础数据!E:F,2,0),"")</f>
        <v/>
      </c>
    </row>
    <row r="38" spans="5:5">
      <c r="E38" s="20" t="str">
        <f>IFERROR(VLOOKUP(D38,基础数据!E:F,2,0),"")</f>
        <v/>
      </c>
    </row>
    <row r="39" spans="5:5">
      <c r="E39" s="20" t="str">
        <f>IFERROR(VLOOKUP(D39,基础数据!E:F,2,0),"")</f>
        <v/>
      </c>
    </row>
    <row r="40" spans="5:5">
      <c r="E40" s="20" t="str">
        <f>IFERROR(VLOOKUP(D40,基础数据!E:F,2,0),"")</f>
        <v/>
      </c>
    </row>
    <row r="41" spans="5:5">
      <c r="E41" s="20" t="str">
        <f>IFERROR(VLOOKUP(D41,基础数据!E:F,2,0),"")</f>
        <v/>
      </c>
    </row>
    <row r="42" spans="5:5">
      <c r="E42" s="20" t="str">
        <f>IFERROR(VLOOKUP(D42,基础数据!E:F,2,0),"")</f>
        <v/>
      </c>
    </row>
    <row r="43" spans="5:5">
      <c r="E43" s="20" t="str">
        <f>IFERROR(VLOOKUP(D43,基础数据!E:F,2,0),"")</f>
        <v/>
      </c>
    </row>
    <row r="44" spans="5:5">
      <c r="E44" s="20" t="str">
        <f>IFERROR(VLOOKUP(D44,基础数据!E:F,2,0),"")</f>
        <v/>
      </c>
    </row>
  </sheetData>
  <pageMargins left="0.7" right="0.7" top="0.75" bottom="0.75" header="0.3" footer="0.3"/>
  <pageSetup paperSize="26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F5" sqref="F5"/>
    </sheetView>
  </sheetViews>
  <sheetFormatPr defaultColWidth="15" defaultRowHeight="15.6"/>
  <cols>
    <col min="1" max="1" width="11.7777777777778" style="17" customWidth="1"/>
    <col min="2" max="2" width="11" style="18" customWidth="1"/>
    <col min="3" max="3" width="36.5555555555556" style="17" customWidth="1"/>
    <col min="4" max="4" width="20" style="19" customWidth="1"/>
    <col min="5" max="5" width="44.5555555555556" style="34" customWidth="1"/>
    <col min="6" max="6" width="20.2222222222222" style="19" customWidth="1"/>
    <col min="7" max="7" width="10.7777777777778" style="19" customWidth="1"/>
    <col min="8" max="8" width="29.7777777777778" style="19" customWidth="1"/>
    <col min="9" max="9" width="23.8888888888889" style="21" customWidth="1"/>
    <col min="10" max="10" width="29.2222222222222" style="21" customWidth="1"/>
    <col min="11" max="16377" width="15" style="21" customWidth="1"/>
    <col min="16378" max="16384" width="15" style="21"/>
  </cols>
  <sheetData>
    <row r="1" s="14" customFormat="1" ht="14.4" spans="1:10">
      <c r="A1" s="22" t="s">
        <v>39</v>
      </c>
      <c r="B1" s="23" t="s">
        <v>24</v>
      </c>
      <c r="C1" s="22" t="s">
        <v>3</v>
      </c>
      <c r="D1" s="24" t="s">
        <v>40</v>
      </c>
      <c r="E1" s="24" t="s">
        <v>6</v>
      </c>
      <c r="F1" s="24" t="s">
        <v>41</v>
      </c>
      <c r="G1" s="24" t="s">
        <v>47</v>
      </c>
      <c r="H1" s="24" t="s">
        <v>31</v>
      </c>
      <c r="I1" s="25" t="s">
        <v>43</v>
      </c>
      <c r="J1" s="25" t="s">
        <v>44</v>
      </c>
    </row>
    <row r="2" ht="19.2" spans="1:10">
      <c r="A2" s="17">
        <v>46145</v>
      </c>
      <c r="B2" s="92" t="s">
        <v>32</v>
      </c>
      <c r="C2" s="8" t="s">
        <v>33</v>
      </c>
      <c r="D2" s="9" t="s">
        <v>34</v>
      </c>
      <c r="E2" s="34" t="str">
        <f>IFERROR(VLOOKUP(D2,基础数据!E:F,2,0),"")</f>
        <v>车载电源二合一</v>
      </c>
      <c r="F2" s="19">
        <v>52</v>
      </c>
      <c r="G2" s="19" t="s">
        <v>35</v>
      </c>
      <c r="H2" s="19" t="s">
        <v>48</v>
      </c>
    </row>
    <row r="3" ht="17.4" spans="1:10">
      <c r="B3" s="36"/>
      <c r="C3" s="36"/>
      <c r="D3" s="28"/>
      <c r="E3" s="34" t="str">
        <f>IFERROR(VLOOKUP(D3,基础数据!E:F,2,0),"")</f>
        <v/>
      </c>
    </row>
    <row r="4" spans="1:10">
      <c r="B4" s="35"/>
      <c r="E4" s="34" t="str">
        <f>IFERROR(VLOOKUP(D4,基础数据!E:F,2,0),"")</f>
        <v/>
      </c>
    </row>
    <row r="5" spans="1:10">
      <c r="B5" s="35"/>
      <c r="E5" s="34" t="str">
        <f>IFERROR(VLOOKUP(D5,基础数据!E:F,2,0),"")</f>
        <v/>
      </c>
    </row>
    <row r="6" spans="1:10">
      <c r="B6" s="35"/>
      <c r="E6" s="34" t="str">
        <f>IFERROR(VLOOKUP(D6,基础数据!E:F,2,0),"")</f>
        <v/>
      </c>
    </row>
    <row r="7" spans="1:10">
      <c r="B7" s="35"/>
      <c r="E7" s="34" t="str">
        <f>IFERROR(VLOOKUP(D7,基础数据!E:F,2,0),"")</f>
        <v/>
      </c>
    </row>
    <row r="8" spans="1:10">
      <c r="B8" s="35"/>
      <c r="E8" s="34" t="str">
        <f>IFERROR(VLOOKUP(D8,基础数据!E:F,2,0),"")</f>
        <v/>
      </c>
    </row>
    <row r="9" spans="1:10">
      <c r="B9" s="35"/>
      <c r="E9" s="34" t="str">
        <f>IFERROR(VLOOKUP(D9,基础数据!E:F,2,0),"")</f>
        <v/>
      </c>
    </row>
    <row r="10" spans="1:10">
      <c r="B10" s="35"/>
      <c r="E10" s="34" t="str">
        <f>IFERROR(VLOOKUP(D10,基础数据!E:F,2,0),"")</f>
        <v/>
      </c>
    </row>
    <row r="11" spans="1:10">
      <c r="B11" s="35"/>
      <c r="E11" s="34" t="str">
        <f>IFERROR(VLOOKUP(D11,基础数据!E:F,2,0),"")</f>
        <v/>
      </c>
    </row>
    <row r="12" spans="1:10">
      <c r="B12" s="35"/>
      <c r="E12" s="34" t="str">
        <f>IFERROR(VLOOKUP(D12,基础数据!E:F,2,0),"")</f>
        <v/>
      </c>
    </row>
    <row r="13" spans="1:10">
      <c r="B13" s="35"/>
      <c r="E13" s="34" t="str">
        <f>IFERROR(VLOOKUP(D13,基础数据!E:F,2,0),"")</f>
        <v/>
      </c>
    </row>
    <row r="14" spans="1:10">
      <c r="B14" s="35"/>
      <c r="E14" s="34" t="str">
        <f>IFERROR(VLOOKUP(D14,基础数据!E:F,2,0),"")</f>
        <v/>
      </c>
    </row>
    <row r="15" spans="1:10">
      <c r="E15" s="34" t="str">
        <f>IFERROR(VLOOKUP(D15,基础数据!E:F,2,0),"")</f>
        <v/>
      </c>
    </row>
    <row r="16" spans="1:10">
      <c r="E16" s="34" t="str">
        <f>IFERROR(VLOOKUP(D16,基础数据!E:F,2,0),"")</f>
        <v/>
      </c>
    </row>
    <row r="17" spans="5:5">
      <c r="E17" s="34" t="str">
        <f>IFERROR(VLOOKUP(D17,基础数据!E:F,2,0),"")</f>
        <v/>
      </c>
    </row>
    <row r="18" spans="5:5">
      <c r="E18" s="34" t="str">
        <f>IFERROR(VLOOKUP(D18,基础数据!E:F,2,0),"")</f>
        <v/>
      </c>
    </row>
    <row r="19" spans="5:5">
      <c r="E19" s="34" t="str">
        <f>IFERROR(VLOOKUP(D19,基础数据!E:F,2,0),"")</f>
        <v/>
      </c>
    </row>
    <row r="20" spans="5:5">
      <c r="E20" s="34" t="str">
        <f>IFERROR(VLOOKUP(D20,基础数据!E:F,2,0),"")</f>
        <v/>
      </c>
    </row>
    <row r="21" spans="5:5">
      <c r="E21" s="34" t="str">
        <f>IFERROR(VLOOKUP(D21,基础数据!E:F,2,0),"")</f>
        <v/>
      </c>
    </row>
    <row r="22" spans="5:5">
      <c r="E22" s="34" t="str">
        <f>IFERROR(VLOOKUP(D22,基础数据!E:F,2,0),"")</f>
        <v/>
      </c>
    </row>
    <row r="23" spans="5:5">
      <c r="E23" s="34" t="str">
        <f>IFERROR(VLOOKUP(D23,基础数据!E:F,2,0),"")</f>
        <v/>
      </c>
    </row>
    <row r="24" spans="5:5">
      <c r="E24" s="34" t="str">
        <f>IFERROR(VLOOKUP(D24,基础数据!E:F,2,0),"")</f>
        <v/>
      </c>
    </row>
    <row r="25" spans="5:5">
      <c r="E25" s="34" t="str">
        <f>IFERROR(VLOOKUP(D25,基础数据!E:F,2,0),"")</f>
        <v/>
      </c>
    </row>
  </sheetData>
  <conditionalFormatting sqref="D3">
    <cfRule type="duplicateValues" dxfId="3" priority="1"/>
  </conditionalFormatting>
  <pageMargins left="0.7" right="0.7" top="0.75" bottom="0.75" header="0.3" footer="0.3"/>
  <pageSetup paperSize="26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S34"/>
  <sheetViews>
    <sheetView workbookViewId="0">
      <selection activeCell="B9" sqref="B9"/>
    </sheetView>
  </sheetViews>
  <sheetFormatPr defaultColWidth="15" defaultRowHeight="15.6"/>
  <cols>
    <col min="1" max="1" width="11.7777777777778" style="17" customWidth="1"/>
    <col min="2" max="2" width="11" style="18" customWidth="1"/>
    <col min="3" max="3" width="36.5555555555556" style="17" customWidth="1"/>
    <col min="4" max="4" width="20" style="19" customWidth="1"/>
    <col min="5" max="5" width="44.5555555555556" style="20" customWidth="1"/>
    <col min="6" max="6" width="20.2222222222222" style="19" customWidth="1"/>
    <col min="7" max="7" width="10.7777777777778" style="19" customWidth="1"/>
    <col min="8" max="8" width="29.7777777777778" style="19" customWidth="1"/>
    <col min="9" max="9" width="23.8888888888889" style="21" customWidth="1"/>
    <col min="10" max="10" width="29.2222222222222" style="21" customWidth="1"/>
    <col min="11" max="16377" width="15" style="21" customWidth="1"/>
    <col min="16378" max="16384" width="15" style="21"/>
  </cols>
  <sheetData>
    <row r="1" s="14" customFormat="1" ht="14.4" spans="1:1017 1027:2047 2057:2567">
      <c r="A1" s="22" t="s">
        <v>39</v>
      </c>
      <c r="B1" s="23" t="s">
        <v>24</v>
      </c>
      <c r="C1" s="22" t="s">
        <v>3</v>
      </c>
      <c r="D1" s="24" t="s">
        <v>40</v>
      </c>
      <c r="E1" s="24" t="s">
        <v>6</v>
      </c>
      <c r="F1" s="24" t="s">
        <v>41</v>
      </c>
      <c r="G1" s="24" t="s">
        <v>47</v>
      </c>
      <c r="H1" s="24" t="s">
        <v>31</v>
      </c>
      <c r="I1" s="25" t="s">
        <v>43</v>
      </c>
      <c r="J1" s="25" t="s">
        <v>44</v>
      </c>
    </row>
    <row r="2" s="15" customFormat="1" ht="17.4" spans="1:1017 1027:2047 2057:2567">
      <c r="A2" s="26">
        <v>46145</v>
      </c>
      <c r="B2" s="93" t="s">
        <v>32</v>
      </c>
      <c r="C2" s="28" t="s">
        <v>33</v>
      </c>
      <c r="D2" s="29" t="s">
        <v>34</v>
      </c>
      <c r="E2" s="30" t="str">
        <f>IFERROR(VLOOKUP(D2,基础数据!E:F,2,0),"")</f>
        <v>车载电源二合一</v>
      </c>
      <c r="F2" s="31">
        <v>3</v>
      </c>
      <c r="G2" s="28" t="s">
        <v>35</v>
      </c>
      <c r="H2" s="32" t="s">
        <v>15</v>
      </c>
      <c r="I2" s="28" t="s">
        <v>49</v>
      </c>
      <c r="J2" s="32"/>
    </row>
    <row r="3" s="16" customFormat="1" ht="21" customHeight="1" spans="1:1017 1027:2047 2057:2567">
      <c r="A3" s="26">
        <v>46149</v>
      </c>
      <c r="B3" s="93" t="s">
        <v>32</v>
      </c>
      <c r="C3" s="28" t="s">
        <v>33</v>
      </c>
      <c r="D3" s="29" t="s">
        <v>34</v>
      </c>
      <c r="E3" s="30" t="str">
        <f>IFERROR(VLOOKUP(D3,基础数据!E:F,2,0),"")</f>
        <v>车载电源二合一</v>
      </c>
      <c r="F3" s="31">
        <v>1</v>
      </c>
      <c r="G3" s="28" t="s">
        <v>35</v>
      </c>
      <c r="H3" s="32" t="s">
        <v>15</v>
      </c>
      <c r="I3" s="28" t="s">
        <v>50</v>
      </c>
      <c r="Q3" s="33"/>
      <c r="AA3" s="33"/>
      <c r="AK3" s="33"/>
      <c r="AU3" s="33"/>
      <c r="BE3" s="33"/>
      <c r="BO3" s="33"/>
      <c r="BY3" s="33"/>
      <c r="CI3" s="33"/>
      <c r="CS3" s="33"/>
      <c r="DC3" s="33"/>
      <c r="DM3" s="33"/>
      <c r="DW3" s="33"/>
      <c r="EG3" s="33"/>
      <c r="EQ3" s="33"/>
      <c r="FA3" s="33"/>
      <c r="FK3" s="33"/>
      <c r="FU3" s="33"/>
      <c r="GE3" s="33"/>
      <c r="GO3" s="33"/>
      <c r="GY3" s="33"/>
      <c r="HI3" s="33"/>
      <c r="HS3" s="33"/>
      <c r="IC3" s="33"/>
      <c r="IM3" s="33"/>
      <c r="IW3" s="33"/>
      <c r="JG3" s="33"/>
      <c r="JQ3" s="33"/>
      <c r="KA3" s="33"/>
      <c r="KK3" s="33"/>
      <c r="KU3" s="33"/>
      <c r="LE3" s="33"/>
      <c r="LO3" s="33"/>
      <c r="LY3" s="33"/>
      <c r="MI3" s="33"/>
      <c r="MS3" s="33"/>
      <c r="NC3" s="33"/>
      <c r="NM3" s="33"/>
      <c r="NW3" s="33"/>
      <c r="OG3" s="33"/>
      <c r="OQ3" s="33"/>
      <c r="PA3" s="33"/>
      <c r="PK3" s="33"/>
      <c r="PU3" s="33"/>
      <c r="QE3" s="33"/>
      <c r="QO3" s="33"/>
      <c r="QY3" s="33"/>
      <c r="RI3" s="33"/>
      <c r="RS3" s="33"/>
      <c r="SC3" s="33"/>
      <c r="SM3" s="33"/>
      <c r="SW3" s="33"/>
      <c r="TG3" s="33"/>
      <c r="TQ3" s="33"/>
      <c r="UA3" s="33"/>
      <c r="UK3" s="33"/>
      <c r="UU3" s="33"/>
      <c r="VE3" s="33"/>
      <c r="VO3" s="33"/>
      <c r="VY3" s="33"/>
      <c r="WI3" s="33"/>
      <c r="WS3" s="33"/>
      <c r="XC3" s="33"/>
      <c r="XM3" s="33"/>
      <c r="XW3" s="33"/>
      <c r="YG3" s="33"/>
      <c r="YQ3" s="33"/>
      <c r="ZA3" s="33"/>
      <c r="ZK3" s="33"/>
      <c r="ZU3" s="33"/>
      <c r="AAE3" s="33"/>
      <c r="AAO3" s="33"/>
      <c r="AAY3" s="33"/>
      <c r="ABI3" s="33"/>
      <c r="ABS3" s="33"/>
      <c r="ACC3" s="33"/>
      <c r="ACM3" s="33"/>
      <c r="ACW3" s="33"/>
      <c r="ADG3" s="33"/>
      <c r="ADQ3" s="33"/>
      <c r="AEA3" s="33"/>
      <c r="AEK3" s="33"/>
      <c r="AEU3" s="33"/>
      <c r="AFE3" s="33"/>
      <c r="AFO3" s="33"/>
      <c r="AFY3" s="33"/>
      <c r="AGI3" s="33"/>
      <c r="AGS3" s="33"/>
      <c r="AHC3" s="33"/>
      <c r="AHM3" s="33"/>
      <c r="AHW3" s="33"/>
      <c r="AIG3" s="33"/>
      <c r="AIQ3" s="33"/>
      <c r="AJA3" s="33"/>
      <c r="AJK3" s="33"/>
      <c r="AJU3" s="33"/>
      <c r="AKE3" s="33"/>
      <c r="AKO3" s="33"/>
      <c r="AKY3" s="33"/>
      <c r="ALI3" s="33"/>
      <c r="ALS3" s="33"/>
      <c r="AMC3" s="33"/>
      <c r="AMM3" s="33"/>
      <c r="AMW3" s="33"/>
      <c r="ANG3" s="33"/>
      <c r="ANQ3" s="33"/>
      <c r="AOA3" s="33"/>
      <c r="AOK3" s="33"/>
      <c r="AOU3" s="33"/>
      <c r="APE3" s="33"/>
      <c r="APO3" s="33"/>
      <c r="APY3" s="33"/>
      <c r="AQI3" s="33"/>
      <c r="AQS3" s="33"/>
      <c r="ARC3" s="33"/>
      <c r="ARM3" s="33"/>
      <c r="ARW3" s="33"/>
      <c r="ASG3" s="33"/>
      <c r="ASQ3" s="33"/>
      <c r="ATA3" s="33"/>
      <c r="ATK3" s="33"/>
      <c r="ATU3" s="33"/>
      <c r="AUE3" s="33"/>
      <c r="AUO3" s="33"/>
      <c r="AUY3" s="33"/>
      <c r="AVI3" s="33"/>
      <c r="AVS3" s="33"/>
      <c r="AWC3" s="33"/>
      <c r="AWM3" s="33"/>
      <c r="AWW3" s="33"/>
      <c r="AXG3" s="33"/>
      <c r="AXQ3" s="33"/>
      <c r="AYA3" s="33"/>
      <c r="AYK3" s="33"/>
      <c r="AYU3" s="33"/>
      <c r="AZE3" s="33"/>
      <c r="AZO3" s="33"/>
      <c r="AZY3" s="33"/>
      <c r="BAI3" s="33"/>
      <c r="BAS3" s="33"/>
      <c r="BBC3" s="33"/>
      <c r="BBM3" s="33"/>
      <c r="BBW3" s="33"/>
      <c r="BCG3" s="33"/>
      <c r="BCQ3" s="33"/>
      <c r="BDA3" s="33"/>
      <c r="BDK3" s="33"/>
      <c r="BDU3" s="33"/>
      <c r="BEE3" s="33"/>
      <c r="BEO3" s="33"/>
      <c r="BEY3" s="33"/>
      <c r="BFI3" s="33"/>
      <c r="BFS3" s="33"/>
      <c r="BGC3" s="33"/>
      <c r="BGM3" s="33"/>
      <c r="BGW3" s="33"/>
      <c r="BHG3" s="33"/>
      <c r="BHQ3" s="33"/>
      <c r="BIA3" s="33"/>
      <c r="BIK3" s="33"/>
      <c r="BIU3" s="33"/>
      <c r="BJE3" s="33"/>
      <c r="BJO3" s="33"/>
      <c r="BJY3" s="33"/>
      <c r="BKI3" s="33"/>
      <c r="BKS3" s="33"/>
      <c r="BLC3" s="33"/>
      <c r="BLM3" s="33"/>
      <c r="BLW3" s="33"/>
      <c r="BMG3" s="33"/>
      <c r="BMQ3" s="33"/>
      <c r="BNA3" s="33"/>
      <c r="BNK3" s="33"/>
      <c r="BNU3" s="33"/>
      <c r="BOE3" s="33"/>
      <c r="BOO3" s="33"/>
      <c r="BOY3" s="33"/>
      <c r="BPI3" s="33"/>
      <c r="BPS3" s="33"/>
      <c r="BQC3" s="33"/>
      <c r="BQM3" s="33"/>
      <c r="BQW3" s="33"/>
      <c r="BRG3" s="33"/>
      <c r="BRQ3" s="33"/>
      <c r="BSA3" s="33"/>
      <c r="BSK3" s="33"/>
      <c r="BSU3" s="33"/>
      <c r="BTE3" s="33"/>
      <c r="BTO3" s="33"/>
      <c r="BTY3" s="33"/>
      <c r="BUI3" s="33"/>
      <c r="BUS3" s="33"/>
      <c r="BVC3" s="33"/>
      <c r="BVM3" s="33"/>
      <c r="BVW3" s="33"/>
      <c r="BWG3" s="33"/>
      <c r="BWQ3" s="33"/>
      <c r="BXA3" s="33"/>
      <c r="BXK3" s="33"/>
      <c r="BXU3" s="33"/>
      <c r="BYE3" s="33"/>
      <c r="BYO3" s="33"/>
      <c r="BYY3" s="33"/>
      <c r="BZI3" s="33"/>
      <c r="BZS3" s="33"/>
      <c r="CAC3" s="33"/>
      <c r="CAM3" s="33"/>
      <c r="CAW3" s="33"/>
      <c r="CBG3" s="33"/>
      <c r="CBQ3" s="33"/>
      <c r="CCA3" s="33"/>
      <c r="CCK3" s="33"/>
      <c r="CCU3" s="33"/>
      <c r="CDE3" s="33"/>
      <c r="CDO3" s="33"/>
      <c r="CDY3" s="33"/>
      <c r="CEI3" s="33"/>
      <c r="CES3" s="33"/>
      <c r="CFC3" s="33"/>
      <c r="CFM3" s="33"/>
      <c r="CFW3" s="33"/>
      <c r="CGG3" s="33"/>
      <c r="CGQ3" s="33"/>
      <c r="CHA3" s="33"/>
      <c r="CHK3" s="33"/>
      <c r="CHU3" s="33"/>
      <c r="CIE3" s="33"/>
      <c r="CIO3" s="33"/>
      <c r="CIY3" s="33"/>
      <c r="CJI3" s="33"/>
      <c r="CJS3" s="33"/>
      <c r="CKC3" s="33"/>
      <c r="CKM3" s="33"/>
      <c r="CKW3" s="33"/>
      <c r="CLG3" s="33"/>
      <c r="CLQ3" s="33"/>
      <c r="CMA3" s="33"/>
      <c r="CMK3" s="33"/>
      <c r="CMU3" s="33"/>
      <c r="CNE3" s="33"/>
      <c r="CNO3" s="33"/>
      <c r="CNY3" s="33"/>
      <c r="COI3" s="33"/>
      <c r="COS3" s="33"/>
      <c r="CPC3" s="33"/>
      <c r="CPM3" s="33"/>
      <c r="CPW3" s="33"/>
      <c r="CQG3" s="33"/>
      <c r="CQQ3" s="33"/>
      <c r="CRA3" s="33"/>
      <c r="CRK3" s="33"/>
      <c r="CRU3" s="33"/>
      <c r="CSE3" s="33"/>
      <c r="CSO3" s="33"/>
      <c r="CSY3" s="33"/>
      <c r="CTI3" s="33"/>
      <c r="CTS3" s="33"/>
    </row>
    <row r="4" ht="17.4" spans="1:1017 1027:2047 2057:2567">
      <c r="A4" s="26">
        <v>46150</v>
      </c>
      <c r="B4" s="93" t="s">
        <v>32</v>
      </c>
      <c r="C4" s="28" t="s">
        <v>33</v>
      </c>
      <c r="D4" s="29" t="s">
        <v>34</v>
      </c>
      <c r="E4" s="30" t="str">
        <f>IFERROR(VLOOKUP(D4,基础数据!E:F,2,0),"")</f>
        <v>车载电源二合一</v>
      </c>
      <c r="F4" s="19">
        <v>111</v>
      </c>
      <c r="G4" s="28" t="s">
        <v>35</v>
      </c>
      <c r="H4" s="32" t="s">
        <v>15</v>
      </c>
      <c r="I4" s="28" t="s">
        <v>51</v>
      </c>
    </row>
    <row r="5" ht="17.4" spans="1:1017 1027:2047 2057:2567">
      <c r="A5" s="26">
        <v>46150</v>
      </c>
      <c r="B5" s="93" t="s">
        <v>32</v>
      </c>
      <c r="C5" s="28" t="s">
        <v>33</v>
      </c>
      <c r="D5" s="9" t="s">
        <v>46</v>
      </c>
      <c r="E5" s="30" t="str">
        <f>IFERROR(VLOOKUP(D5,基础数据!E:F,2,0),"")</f>
        <v>800V车载二合一电源总成</v>
      </c>
      <c r="F5" s="19">
        <v>175</v>
      </c>
      <c r="G5" s="28" t="s">
        <v>35</v>
      </c>
      <c r="H5" s="32" t="s">
        <v>15</v>
      </c>
      <c r="I5" s="28" t="s">
        <v>51</v>
      </c>
    </row>
    <row r="6" ht="17.4" spans="1:1017 1027:2047 2057:2567">
      <c r="A6" s="26">
        <v>46154</v>
      </c>
      <c r="B6" s="93" t="s">
        <v>32</v>
      </c>
      <c r="C6" s="28" t="s">
        <v>33</v>
      </c>
      <c r="D6" s="19" t="s">
        <v>46</v>
      </c>
      <c r="E6" s="34" t="str">
        <f>IFERROR(VLOOKUP(D6,基础数据!E:F,2,0),"")</f>
        <v>800V车载二合一电源总成</v>
      </c>
      <c r="F6" s="19">
        <v>7</v>
      </c>
      <c r="G6" s="28" t="s">
        <v>35</v>
      </c>
      <c r="H6" s="32" t="s">
        <v>15</v>
      </c>
    </row>
    <row r="7" spans="1:1017 1027:2047 2057:2567">
      <c r="B7" s="35"/>
    </row>
    <row r="8" spans="1:1017 1027:2047 2057:2567">
      <c r="B8" s="35"/>
      <c r="E8" s="20" t="str">
        <f>IFERROR(VLOOKUP(D8,基础数据!E:F,2,0),"")</f>
        <v/>
      </c>
    </row>
    <row r="9" spans="1:1017 1027:2047 2057:2567">
      <c r="B9" s="35"/>
      <c r="E9" s="20" t="str">
        <f>IFERROR(VLOOKUP(D9,基础数据!E:F,2,0),"")</f>
        <v/>
      </c>
    </row>
    <row r="10" spans="1:1017 1027:2047 2057:2567">
      <c r="B10" s="35"/>
      <c r="E10" s="20" t="str">
        <f>IFERROR(VLOOKUP(D10,基础数据!E:F,2,0),"")</f>
        <v/>
      </c>
    </row>
    <row r="11" spans="1:1017 1027:2047 2057:2567">
      <c r="B11" s="35"/>
      <c r="E11" s="20" t="str">
        <f>IFERROR(VLOOKUP(D11,基础数据!E:F,2,0),"")</f>
        <v/>
      </c>
    </row>
    <row r="12" spans="1:1017 1027:2047 2057:2567">
      <c r="B12" s="35"/>
      <c r="E12" s="20" t="str">
        <f>IFERROR(VLOOKUP(D12,基础数据!E:F,2,0),"")</f>
        <v/>
      </c>
    </row>
    <row r="13" spans="1:1017 1027:2047 2057:2567">
      <c r="B13" s="35"/>
      <c r="E13" s="20" t="str">
        <f>IFERROR(VLOOKUP(D13,基础数据!E:F,2,0),"")</f>
        <v/>
      </c>
    </row>
    <row r="14" spans="1:1017 1027:2047 2057:2567">
      <c r="B14" s="35"/>
      <c r="E14" s="20" t="str">
        <f>IFERROR(VLOOKUP(D14,基础数据!E:F,2,0),"")</f>
        <v/>
      </c>
    </row>
    <row r="15" spans="1:1017 1027:2047 2057:2567">
      <c r="B15" s="35"/>
      <c r="E15" s="20" t="str">
        <f>IFERROR(VLOOKUP(D15,基础数据!E:F,2,0),"")</f>
        <v/>
      </c>
    </row>
    <row r="16" spans="1:1017 1027:2047 2057:2567">
      <c r="E16" s="20" t="str">
        <f>IFERROR(VLOOKUP(D16,基础数据!E:F,2,0),"")</f>
        <v/>
      </c>
    </row>
    <row r="17" spans="5:5">
      <c r="E17" s="20" t="str">
        <f>IFERROR(VLOOKUP(D17,基础数据!E:F,2,0),"")</f>
        <v/>
      </c>
    </row>
    <row r="18" spans="5:5">
      <c r="E18" s="20" t="str">
        <f>IFERROR(VLOOKUP(D18,基础数据!E:F,2,0),"")</f>
        <v/>
      </c>
    </row>
    <row r="19" spans="5:5">
      <c r="E19" s="20" t="str">
        <f>IFERROR(VLOOKUP(D19,基础数据!E:F,2,0),"")</f>
        <v/>
      </c>
    </row>
    <row r="20" spans="5:5">
      <c r="E20" s="20" t="str">
        <f>IFERROR(VLOOKUP(D20,基础数据!E:F,2,0),"")</f>
        <v/>
      </c>
    </row>
    <row r="21" spans="5:5">
      <c r="E21" s="20" t="str">
        <f>IFERROR(VLOOKUP(D21,基础数据!E:F,2,0),"")</f>
        <v/>
      </c>
    </row>
    <row r="22" spans="5:5">
      <c r="E22" s="20" t="str">
        <f>IFERROR(VLOOKUP(D22,基础数据!E:F,2,0),"")</f>
        <v/>
      </c>
    </row>
    <row r="23" spans="5:5">
      <c r="E23" s="20" t="str">
        <f>IFERROR(VLOOKUP(D23,基础数据!E:F,2,0),"")</f>
        <v/>
      </c>
    </row>
    <row r="24" spans="5:5">
      <c r="E24" s="20" t="str">
        <f>IFERROR(VLOOKUP(D24,基础数据!E:F,2,0),"")</f>
        <v/>
      </c>
    </row>
    <row r="25" spans="5:5">
      <c r="E25" s="20" t="str">
        <f>IFERROR(VLOOKUP(D25,基础数据!E:F,2,0),"")</f>
        <v/>
      </c>
    </row>
    <row r="26" spans="5:5">
      <c r="E26" s="20" t="str">
        <f>IFERROR(VLOOKUP(D26,基础数据!E:F,2,0),"")</f>
        <v/>
      </c>
    </row>
    <row r="27" spans="5:5">
      <c r="E27" s="20" t="str">
        <f>IFERROR(VLOOKUP(D27,基础数据!E:F,2,0),"")</f>
        <v/>
      </c>
    </row>
    <row r="28" spans="5:5">
      <c r="E28" s="20" t="str">
        <f>IFERROR(VLOOKUP(D28,基础数据!E:F,2,0),"")</f>
        <v/>
      </c>
    </row>
    <row r="29" spans="5:5">
      <c r="E29" s="20" t="str">
        <f>IFERROR(VLOOKUP(D29,基础数据!E:F,2,0),"")</f>
        <v/>
      </c>
    </row>
    <row r="30" spans="5:5">
      <c r="E30" s="20" t="str">
        <f>IFERROR(VLOOKUP(D30,基础数据!E:F,2,0),"")</f>
        <v/>
      </c>
    </row>
    <row r="31" spans="5:5">
      <c r="E31" s="20" t="str">
        <f>IFERROR(VLOOKUP(D31,基础数据!E:F,2,0),"")</f>
        <v/>
      </c>
    </row>
    <row r="32" spans="5:5">
      <c r="E32" s="20" t="str">
        <f>IFERROR(VLOOKUP(D32,基础数据!E:F,2,0),"")</f>
        <v/>
      </c>
    </row>
    <row r="33" spans="5:5">
      <c r="E33" s="20" t="str">
        <f>IFERROR(VLOOKUP(D33,基础数据!E:F,2,0),"")</f>
        <v/>
      </c>
    </row>
    <row r="34" spans="5:5">
      <c r="E34" s="20" t="str">
        <f>IFERROR(VLOOKUP(D34,基础数据!E:F,2,0),"")</f>
        <v/>
      </c>
    </row>
  </sheetData>
  <pageMargins left="0.7" right="0.7" top="0.75" bottom="0.75" header="0.3" footer="0.3"/>
  <pageSetup paperSize="26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F9" sqref="F9"/>
    </sheetView>
  </sheetViews>
  <sheetFormatPr defaultColWidth="8.55555555555556" defaultRowHeight="14.4" outlineLevelRow="4"/>
  <cols>
    <col min="2" max="2" width="13.5555555555556" customWidth="1"/>
    <col min="3" max="3" width="39.7777777777778" customWidth="1"/>
    <col min="4" max="4" width="20.8888888888889" customWidth="1"/>
    <col min="5" max="5" width="26.1111111111111" customWidth="1"/>
    <col min="6" max="6" width="29.4444444444444" customWidth="1"/>
    <col min="7" max="7" width="10.5555555555556"/>
    <col min="8" max="8" width="13.6666666666667" customWidth="1"/>
    <col min="9" max="9" width="17.7777777777778" customWidth="1"/>
  </cols>
  <sheetData>
    <row r="1" spans="1:9">
      <c r="A1" s="2" t="s">
        <v>1</v>
      </c>
      <c r="B1" s="2" t="s">
        <v>2</v>
      </c>
      <c r="C1" s="2" t="s">
        <v>3</v>
      </c>
      <c r="D1" s="3" t="s">
        <v>4</v>
      </c>
      <c r="E1" s="2" t="s">
        <v>5</v>
      </c>
      <c r="F1" s="4" t="s">
        <v>6</v>
      </c>
      <c r="G1" s="4" t="s">
        <v>7</v>
      </c>
      <c r="H1" s="3" t="s">
        <v>8</v>
      </c>
      <c r="I1" s="3" t="s">
        <v>52</v>
      </c>
    </row>
    <row r="2" spans="1:9">
      <c r="A2" s="2"/>
      <c r="B2" s="2"/>
      <c r="C2" s="2"/>
      <c r="D2" s="5"/>
      <c r="E2" s="2"/>
      <c r="F2" s="4"/>
      <c r="G2" s="4"/>
      <c r="H2" s="5"/>
      <c r="I2" s="5"/>
    </row>
    <row r="3" s="1" customFormat="1" ht="20.25" customHeight="1" spans="1:9">
      <c r="A3" s="6">
        <v>1</v>
      </c>
      <c r="B3" s="92" t="s">
        <v>32</v>
      </c>
      <c r="C3" s="8" t="s">
        <v>33</v>
      </c>
      <c r="D3" s="8"/>
      <c r="E3" s="9" t="s">
        <v>53</v>
      </c>
      <c r="F3" s="9" t="s">
        <v>54</v>
      </c>
      <c r="G3" s="10">
        <v>45</v>
      </c>
      <c r="H3" s="8" t="s">
        <v>55</v>
      </c>
      <c r="I3" s="11" t="s">
        <v>56</v>
      </c>
    </row>
    <row r="4" s="1" customFormat="1" ht="20.25" customHeight="1" spans="1:9">
      <c r="A4" s="6">
        <v>2</v>
      </c>
      <c r="B4" s="92" t="s">
        <v>32</v>
      </c>
      <c r="C4" s="8" t="s">
        <v>33</v>
      </c>
      <c r="D4" s="8"/>
      <c r="E4" s="9" t="s">
        <v>34</v>
      </c>
      <c r="F4" s="9" t="s">
        <v>57</v>
      </c>
      <c r="G4" s="10">
        <v>45</v>
      </c>
      <c r="H4" s="8" t="s">
        <v>55</v>
      </c>
      <c r="I4" s="11" t="s">
        <v>56</v>
      </c>
    </row>
    <row r="5" s="1" customFormat="1" ht="20.25" customHeight="1" spans="1:9">
      <c r="A5" s="6">
        <v>3</v>
      </c>
      <c r="B5" s="92" t="s">
        <v>32</v>
      </c>
      <c r="C5" s="8" t="s">
        <v>33</v>
      </c>
      <c r="D5" s="8"/>
      <c r="E5" s="8" t="s">
        <v>46</v>
      </c>
      <c r="F5" s="12" t="s">
        <v>58</v>
      </c>
      <c r="G5" s="13">
        <v>45</v>
      </c>
      <c r="H5" s="8" t="s">
        <v>55</v>
      </c>
      <c r="I5" s="11" t="s">
        <v>56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conditionalFormatting sqref="E5">
    <cfRule type="duplicateValues" dxfId="3" priority="2"/>
  </conditionalFormatting>
  <conditionalFormatting sqref="F5">
    <cfRule type="duplicateValues" dxfId="3" priority="5"/>
  </conditionalFormatting>
  <conditionalFormatting sqref="D3:D5">
    <cfRule type="duplicateValues" dxfId="3" priority="4"/>
  </conditionalFormatting>
  <conditionalFormatting sqref="E1:E2 D1">
    <cfRule type="duplicateValues" dxfId="2" priority="11"/>
  </conditionalFormatting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日报</vt:lpstr>
      <vt:lpstr>合格品入货记录</vt:lpstr>
      <vt:lpstr>合格品出库记录</vt:lpstr>
      <vt:lpstr>零跑退回</vt:lpstr>
      <vt:lpstr>库内不良</vt:lpstr>
      <vt:lpstr>退回供应商</vt:lpstr>
      <vt:lpstr>基础数据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屈魔人</cp:lastModifiedBy>
  <cp:revision>0</cp:revision>
  <dcterms:created xsi:type="dcterms:W3CDTF">2006-09-13T11:21:00Z</dcterms:created>
  <cp:lastPrinted>2022-04-02T09:22:00Z</cp:lastPrinted>
  <dcterms:modified xsi:type="dcterms:W3CDTF">2026-05-12T02:46:08Z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A9CFAB9C79804FB9A4BB515F6228FF3E_13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